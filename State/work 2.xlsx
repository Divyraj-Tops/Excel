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8e5c8547aed8ac1/Desktop/Manav/TOPS Excel practice/Work/"/>
    </mc:Choice>
  </mc:AlternateContent>
  <xr:revisionPtr revIDLastSave="3" documentId="13_ncr:1_{80B79DEC-BF3C-47E4-8B92-47EFD4C9AA0F}" xr6:coauthVersionLast="47" xr6:coauthVersionMax="47" xr10:uidLastSave="{733008D6-1F68-417D-A853-1445C7F8B98A}"/>
  <bookViews>
    <workbookView xWindow="-110" yWindow="-110" windowWidth="19420" windowHeight="10420" activeTab="2" xr2:uid="{00000000-000D-0000-FFFF-FFFF00000000}"/>
  </bookViews>
  <sheets>
    <sheet name="IF" sheetId="1" r:id="rId1"/>
    <sheet name="IF AND OR nested" sheetId="4" r:id="rId2"/>
    <sheet name="NestedIF" sheetId="5" r:id="rId3"/>
  </sheets>
  <definedNames>
    <definedName name="_xlnm._FilterDatabase" localSheetId="1" hidden="1">'IF AND OR nested'!$A$10:$O$48</definedName>
    <definedName name="_xlnm._FilterDatabase" localSheetId="2" hidden="1">NestedIF!$A$3:$B$53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" i="4" l="1" a="1"/>
  <c r="O12" i="4" s="1"/>
  <c r="O13" i="4" a="1"/>
  <c r="O13" i="4" s="1"/>
  <c r="O14" i="4" a="1"/>
  <c r="O14" i="4" s="1"/>
  <c r="O15" i="4" a="1"/>
  <c r="O15" i="4"/>
  <c r="O16" i="4" a="1"/>
  <c r="O16" i="4" s="1"/>
  <c r="O17" i="4" a="1"/>
  <c r="O17" i="4" s="1"/>
  <c r="O18" i="4" a="1"/>
  <c r="O18" i="4" s="1"/>
  <c r="O19" i="4" a="1"/>
  <c r="O19" i="4"/>
  <c r="O20" i="4" a="1"/>
  <c r="O20" i="4" s="1"/>
  <c r="O21" i="4" a="1"/>
  <c r="O21" i="4" s="1"/>
  <c r="O22" i="4" a="1"/>
  <c r="O22" i="4" s="1"/>
  <c r="O23" i="4" a="1"/>
  <c r="O23" i="4"/>
  <c r="O24" i="4" a="1"/>
  <c r="O24" i="4" s="1"/>
  <c r="O25" i="4" a="1"/>
  <c r="O25" i="4" s="1"/>
  <c r="O26" i="4" a="1"/>
  <c r="O26" i="4" s="1"/>
  <c r="O27" i="4" a="1"/>
  <c r="O27" i="4"/>
  <c r="O28" i="4" a="1"/>
  <c r="O28" i="4" s="1"/>
  <c r="O29" i="4" a="1"/>
  <c r="O29" i="4" s="1"/>
  <c r="O30" i="4" a="1"/>
  <c r="O30" i="4" s="1"/>
  <c r="O31" i="4" a="1"/>
  <c r="O31" i="4"/>
  <c r="O32" i="4" a="1"/>
  <c r="O32" i="4" s="1"/>
  <c r="O33" i="4" a="1"/>
  <c r="O33" i="4" s="1"/>
  <c r="O34" i="4" a="1"/>
  <c r="O34" i="4" s="1"/>
  <c r="O35" i="4" a="1"/>
  <c r="O35" i="4"/>
  <c r="O36" i="4" a="1"/>
  <c r="O36" i="4" s="1"/>
  <c r="O37" i="4" a="1"/>
  <c r="O37" i="4" s="1"/>
  <c r="O38" i="4" a="1"/>
  <c r="O38" i="4" s="1"/>
  <c r="O39" i="4" a="1"/>
  <c r="O39" i="4"/>
  <c r="O40" i="4" a="1"/>
  <c r="O40" i="4" s="1"/>
  <c r="O41" i="4" a="1"/>
  <c r="O41" i="4" s="1"/>
  <c r="O42" i="4" a="1"/>
  <c r="O42" i="4" s="1"/>
  <c r="O43" i="4" a="1"/>
  <c r="O43" i="4"/>
  <c r="O44" i="4" a="1"/>
  <c r="O44" i="4" s="1"/>
  <c r="O45" i="4" a="1"/>
  <c r="O45" i="4" s="1"/>
  <c r="O46" i="4" a="1"/>
  <c r="O46" i="4" s="1"/>
  <c r="O47" i="4" a="1"/>
  <c r="O47" i="4"/>
  <c r="O48" i="4" a="1"/>
  <c r="O48" i="4" s="1"/>
  <c r="O11" i="4" a="1"/>
  <c r="O11" i="4" s="1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11" i="4"/>
  <c r="C5" i="5" a="1"/>
  <c r="C5" i="5" s="1"/>
  <c r="C6" i="5" a="1"/>
  <c r="C6" i="5" s="1"/>
  <c r="C7" i="5" a="1"/>
  <c r="C7" i="5"/>
  <c r="C8" i="5" a="1"/>
  <c r="C8" i="5"/>
  <c r="C9" i="5" a="1"/>
  <c r="C9" i="5" s="1"/>
  <c r="C10" i="5" a="1"/>
  <c r="C10" i="5" s="1"/>
  <c r="C11" i="5" a="1"/>
  <c r="C11" i="5"/>
  <c r="C12" i="5" a="1"/>
  <c r="C12" i="5"/>
  <c r="C13" i="5" a="1"/>
  <c r="C13" i="5" s="1"/>
  <c r="C14" i="5" a="1"/>
  <c r="C14" i="5" s="1"/>
  <c r="C15" i="5" a="1"/>
  <c r="C15" i="5"/>
  <c r="C16" i="5" a="1"/>
  <c r="C16" i="5"/>
  <c r="C17" i="5" a="1"/>
  <c r="C17" i="5" s="1"/>
  <c r="C18" i="5" a="1"/>
  <c r="C18" i="5" s="1"/>
  <c r="C19" i="5" a="1"/>
  <c r="C19" i="5"/>
  <c r="C20" i="5" a="1"/>
  <c r="C20" i="5"/>
  <c r="C21" i="5" a="1"/>
  <c r="C21" i="5" s="1"/>
  <c r="C22" i="5" a="1"/>
  <c r="C22" i="5" s="1"/>
  <c r="C23" i="5" a="1"/>
  <c r="C23" i="5"/>
  <c r="C24" i="5" a="1"/>
  <c r="C24" i="5"/>
  <c r="C25" i="5" a="1"/>
  <c r="C25" i="5" s="1"/>
  <c r="C26" i="5" a="1"/>
  <c r="C26" i="5" s="1"/>
  <c r="C27" i="5" a="1"/>
  <c r="C27" i="5"/>
  <c r="C28" i="5" a="1"/>
  <c r="C28" i="5"/>
  <c r="C29" i="5" a="1"/>
  <c r="C29" i="5" s="1"/>
  <c r="C30" i="5" a="1"/>
  <c r="C30" i="5" s="1"/>
  <c r="C31" i="5" a="1"/>
  <c r="C31" i="5"/>
  <c r="C32" i="5" a="1"/>
  <c r="C32" i="5"/>
  <c r="C33" i="5" a="1"/>
  <c r="C33" i="5" s="1"/>
  <c r="C34" i="5" a="1"/>
  <c r="C34" i="5" s="1"/>
  <c r="C35" i="5" a="1"/>
  <c r="C35" i="5"/>
  <c r="C36" i="5" a="1"/>
  <c r="C36" i="5"/>
  <c r="C37" i="5" a="1"/>
  <c r="C37" i="5" s="1"/>
  <c r="C38" i="5" a="1"/>
  <c r="C38" i="5" s="1"/>
  <c r="C39" i="5" a="1"/>
  <c r="C39" i="5"/>
  <c r="C40" i="5" a="1"/>
  <c r="C40" i="5"/>
  <c r="C41" i="5" a="1"/>
  <c r="C41" i="5" s="1"/>
  <c r="C42" i="5" a="1"/>
  <c r="C42" i="5" s="1"/>
  <c r="C43" i="5" a="1"/>
  <c r="C43" i="5"/>
  <c r="C44" i="5" a="1"/>
  <c r="C44" i="5"/>
  <c r="C45" i="5" a="1"/>
  <c r="C45" i="5" s="1"/>
  <c r="C46" i="5" a="1"/>
  <c r="C46" i="5" s="1"/>
  <c r="C47" i="5" a="1"/>
  <c r="C47" i="5"/>
  <c r="C48" i="5" a="1"/>
  <c r="C48" i="5" s="1"/>
  <c r="C49" i="5" a="1"/>
  <c r="C49" i="5" s="1"/>
  <c r="C50" i="5" a="1"/>
  <c r="C50" i="5" s="1"/>
  <c r="C51" i="5" a="1"/>
  <c r="C51" i="5" s="1"/>
  <c r="C52" i="5" a="1"/>
  <c r="C52" i="5" s="1"/>
  <c r="C53" i="5" a="1"/>
  <c r="C53" i="5" s="1"/>
  <c r="C4" i="5" a="1"/>
  <c r="C4" i="5" s="1"/>
  <c r="J12" i="1" a="1"/>
  <c r="J12" i="1" s="1"/>
  <c r="J13" i="1" a="1"/>
  <c r="J13" i="1"/>
  <c r="J14" i="1" a="1"/>
  <c r="J14" i="1"/>
  <c r="J15" i="1" a="1"/>
  <c r="J15" i="1"/>
  <c r="J16" i="1" a="1"/>
  <c r="J16" i="1" s="1"/>
  <c r="J17" i="1" a="1"/>
  <c r="J17" i="1"/>
  <c r="J18" i="1" a="1"/>
  <c r="J18" i="1" s="1"/>
  <c r="J19" i="1" a="1"/>
  <c r="J19" i="1"/>
  <c r="J20" i="1" a="1"/>
  <c r="J20" i="1" s="1"/>
  <c r="J21" i="1" a="1"/>
  <c r="J21" i="1"/>
  <c r="J22" i="1" a="1"/>
  <c r="J22" i="1" s="1"/>
  <c r="J23" i="1" a="1"/>
  <c r="J23" i="1"/>
  <c r="J11" i="1" a="1"/>
  <c r="J11" i="1" s="1"/>
  <c r="I12" i="1"/>
  <c r="I13" i="1"/>
  <c r="I14" i="1"/>
  <c r="I15" i="1"/>
  <c r="I16" i="1"/>
  <c r="I17" i="1"/>
  <c r="I18" i="1"/>
  <c r="I19" i="1"/>
  <c r="I20" i="1"/>
  <c r="I21" i="1"/>
  <c r="I22" i="1"/>
  <c r="I23" i="1"/>
  <c r="I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<sst xmlns="http://schemas.openxmlformats.org/spreadsheetml/2006/main" count="347" uniqueCount="192">
  <si>
    <t xml:space="preserve">Q1: Using below Table calculate the total Counts for each Agent and using excel functions update the stack status column using the below criteria </t>
  </si>
  <si>
    <t>Counts below 15</t>
  </si>
  <si>
    <t>Not Stacked</t>
  </si>
  <si>
    <t>Counts between 15 - 19</t>
  </si>
  <si>
    <t>Exception</t>
  </si>
  <si>
    <t>Counts above 19</t>
  </si>
  <si>
    <t>Stacked</t>
  </si>
  <si>
    <t>Agent Name</t>
  </si>
  <si>
    <t>Total Counts</t>
  </si>
  <si>
    <t>Stack Status</t>
  </si>
  <si>
    <t>Hajjam, Hayat</t>
  </si>
  <si>
    <t>-</t>
  </si>
  <si>
    <t>Bouzerda, Ryad</t>
  </si>
  <si>
    <t>Tavani, Giovanni</t>
  </si>
  <si>
    <t>Gondzur, Stanislav</t>
  </si>
  <si>
    <t>Szerda, Peter</t>
  </si>
  <si>
    <t>R, Sudarshan</t>
  </si>
  <si>
    <t>Madarasz, Richard</t>
  </si>
  <si>
    <t>Bachrata, Petra</t>
  </si>
  <si>
    <t>Hauser, Natalia</t>
  </si>
  <si>
    <t>Bounaaj, Khalil</t>
  </si>
  <si>
    <t>Chakrouna, Assaad</t>
  </si>
  <si>
    <t>Petersson, Angelica</t>
  </si>
  <si>
    <t>Akhnoori, Vidya</t>
  </si>
  <si>
    <t>Sales</t>
  </si>
  <si>
    <t>C_Code</t>
  </si>
  <si>
    <t>FirstName</t>
  </si>
  <si>
    <t>LastName</t>
  </si>
  <si>
    <t>Birthdate</t>
  </si>
  <si>
    <t>M_Status</t>
  </si>
  <si>
    <t>Stan</t>
  </si>
  <si>
    <t>Serrao</t>
  </si>
  <si>
    <t>Male</t>
  </si>
  <si>
    <t>Married</t>
  </si>
  <si>
    <t>Melwyn</t>
  </si>
  <si>
    <t>Crasto</t>
  </si>
  <si>
    <t>Sachin</t>
  </si>
  <si>
    <t>Bangera</t>
  </si>
  <si>
    <t>Single</t>
  </si>
  <si>
    <t>Rajesh</t>
  </si>
  <si>
    <t>Bohra</t>
  </si>
  <si>
    <t>Tulsidas</t>
  </si>
  <si>
    <t>Shetty</t>
  </si>
  <si>
    <t>Dedhia</t>
  </si>
  <si>
    <t>Heena</t>
  </si>
  <si>
    <t>Dongre</t>
  </si>
  <si>
    <t>Yashraj</t>
  </si>
  <si>
    <t>Vaidya</t>
  </si>
  <si>
    <t>Rajeev</t>
  </si>
  <si>
    <t>Singh</t>
  </si>
  <si>
    <t>Ram</t>
  </si>
  <si>
    <t>Ambradkar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</si>
  <si>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</si>
  <si>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</si>
  <si>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</si>
  <si>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</si>
  <si>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</si>
  <si>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</si>
  <si>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</si>
  <si>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</si>
  <si>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</si>
  <si>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</si>
  <si>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Female</t>
  </si>
  <si>
    <t>Boneca</t>
  </si>
  <si>
    <t>Rego</t>
  </si>
  <si>
    <t>Venitha</t>
  </si>
  <si>
    <t>Dinesh</t>
  </si>
  <si>
    <t>Dhanuka</t>
  </si>
  <si>
    <t>Gururaj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</si>
  <si>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</si>
  <si>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</si>
  <si>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</si>
  <si>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</si>
  <si>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</si>
  <si>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</si>
  <si>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</si>
  <si>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</si>
  <si>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</si>
  <si>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</si>
  <si>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</si>
  <si>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</si>
  <si>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</si>
  <si>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</si>
  <si>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</si>
  <si>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</si>
  <si>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</si>
  <si>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</si>
  <si>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</si>
  <si>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</si>
  <si>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</si>
  <si>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</si>
  <si>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</si>
  <si>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</si>
  <si>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</si>
  <si>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</si>
  <si>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</si>
  <si>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</si>
  <si>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</si>
  <si>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</si>
  <si>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</si>
  <si>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</si>
  <si>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</si>
  <si>
    <t>Basic Salary</t>
  </si>
  <si>
    <t>Add new column for each task</t>
  </si>
  <si>
    <t>Department</t>
  </si>
  <si>
    <t>Finance</t>
  </si>
  <si>
    <t>Marketing</t>
  </si>
  <si>
    <t>Digital Marketing</t>
  </si>
  <si>
    <t>Learning &amp; Development</t>
  </si>
  <si>
    <t>Inside Sales</t>
  </si>
  <si>
    <t>CCD</t>
  </si>
  <si>
    <t>FLM</t>
  </si>
  <si>
    <t>Operations</t>
  </si>
  <si>
    <t>Employees having Salary less than 30000 and belong to CCD department, Get 9000 as Bonus</t>
  </si>
  <si>
    <t>Gift everyone 1500 rs. Amazon Voucher, except Director and CEO</t>
  </si>
  <si>
    <t>CEO</t>
  </si>
  <si>
    <t>Director</t>
  </si>
  <si>
    <t>Employees joined before 1980 , write them as 'Retired'</t>
  </si>
  <si>
    <t>Employees belong to Sales and Marketing Department with Basic Salary &lt; 45000 get Bonus of 25000</t>
  </si>
  <si>
    <t>Gender</t>
  </si>
  <si>
    <t>Write 'Eligible for Gift', in front of Females having Salary less than 50000</t>
  </si>
  <si>
    <t>Q. For the student database given alongside, Find the grades Accordingly.</t>
  </si>
  <si>
    <t>Student</t>
  </si>
  <si>
    <t>Scores</t>
  </si>
  <si>
    <t>Grades</t>
  </si>
  <si>
    <t>Student 1</t>
  </si>
  <si>
    <t>Min</t>
  </si>
  <si>
    <t>Max</t>
  </si>
  <si>
    <t>Grade</t>
  </si>
  <si>
    <t>Student 2</t>
  </si>
  <si>
    <t>A</t>
  </si>
  <si>
    <t>Student 3</t>
  </si>
  <si>
    <t>B</t>
  </si>
  <si>
    <t>Student 4</t>
  </si>
  <si>
    <t>Student 5</t>
  </si>
  <si>
    <t>Student 6</t>
  </si>
  <si>
    <t>F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</si>
  <si>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</si>
  <si>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</si>
  <si>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</si>
  <si>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</si>
  <si>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</si>
  <si>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</si>
  <si>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</si>
  <si>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</si>
  <si>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</si>
  <si>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</si>
  <si>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</si>
  <si>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</si>
  <si>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</si>
  <si>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</si>
  <si>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</si>
  <si>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</si>
  <si>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</si>
  <si>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</si>
  <si>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</si>
  <si>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</si>
  <si>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</si>
  <si>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</si>
  <si>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</si>
  <si>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</si>
  <si>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</si>
  <si>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</si>
  <si>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</si>
  <si>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</si>
  <si>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</si>
  <si>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</si>
  <si>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</si>
  <si>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</si>
  <si>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</si>
  <si>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</si>
  <si>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</si>
  <si>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</si>
  <si>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</si>
  <si>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</si>
  <si>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</si>
  <si>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</si>
  <si>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</si>
  <si>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</si>
  <si>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</si>
  <si>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</si>
  <si>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Employees will receive TA-DA as per the Region they are posted in. North=5000, South=4000, East=4200, Midwest=3800</t>
  </si>
  <si>
    <t>Region</t>
  </si>
  <si>
    <t>North</t>
  </si>
  <si>
    <t>South</t>
  </si>
  <si>
    <t>Mid West</t>
  </si>
  <si>
    <t>East</t>
  </si>
  <si>
    <t>Gift</t>
  </si>
  <si>
    <t>Bonus</t>
  </si>
  <si>
    <t>Retirenment</t>
  </si>
  <si>
    <t>Voucher</t>
  </si>
  <si>
    <t>TA-DA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</si>
</sst>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color rgb="FFFF0000"/>
      <name val="Calibri"/>
      <family val="2"/>
      <scheme val="minor"/>
    </font>
    <font>
      <sz val="11"/>
      <color indexed="10"/>
      <name val="Museo Sans For Dell"/>
    </font>
    <font>
      <i/>
      <sz val="11"/>
      <color indexed="16"/>
      <name val="Museo Sans For Dell"/>
    </font>
    <font>
      <b/>
      <i/>
      <sz val="11"/>
      <color indexed="20"/>
      <name val="Museo Sans For Dell"/>
    </font>
    <font>
      <b/>
      <i/>
      <sz val="11"/>
      <color indexed="16"/>
      <name val="Museo Sans For Dell"/>
    </font>
    <font>
      <sz val="11"/>
      <color indexed="9"/>
      <name val="Museo Sans For Dell"/>
    </font>
    <font>
      <sz val="11"/>
      <color theme="1"/>
      <name val="Museo Sans For Dell"/>
    </font>
    <font>
      <b/>
      <sz val="11"/>
      <color indexed="16"/>
      <name val="Museo Sans For Dell"/>
    </font>
    <font>
      <sz val="11"/>
      <name val="Museo Sans For Dell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5C3"/>
        <bgColor indexed="64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5" fillId="4" borderId="8">
      <alignment wrapText="1"/>
    </xf>
  </cellStyleXfs>
  <cellXfs count="4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1" fillId="0" borderId="0" xfId="0" applyFont="1"/>
    <xf numFmtId="0" fontId="1" fillId="0" borderId="8" xfId="0" applyFont="1" applyBorder="1"/>
    <xf numFmtId="0" fontId="0" fillId="0" borderId="8" xfId="0" applyBorder="1"/>
    <xf numFmtId="0" fontId="0" fillId="0" borderId="0" xfId="0" quotePrefix="1"/>
    <xf numFmtId="0" fontId="7" fillId="0" borderId="0" xfId="0" applyFont="1"/>
    <xf numFmtId="0" fontId="0" fillId="0" borderId="8" xfId="0" quotePrefix="1" applyBorder="1" applyAlignment="1">
      <alignment horizontal="center"/>
    </xf>
    <xf numFmtId="0" fontId="0" fillId="0" borderId="8" xfId="0" quotePrefix="1" applyBorder="1"/>
    <xf numFmtId="15" fontId="0" fillId="0" borderId="8" xfId="0" applyNumberFormat="1" applyBorder="1" applyAlignment="1">
      <alignment horizontal="center"/>
    </xf>
    <xf numFmtId="0" fontId="1" fillId="5" borderId="8" xfId="0" applyFont="1" applyFill="1" applyBorder="1"/>
    <xf numFmtId="0" fontId="0" fillId="5" borderId="8" xfId="0" applyFill="1" applyBorder="1"/>
    <xf numFmtId="0" fontId="4" fillId="0" borderId="0" xfId="0" applyFont="1"/>
    <xf numFmtId="0" fontId="8" fillId="0" borderId="8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8" xfId="0" applyFont="1" applyBorder="1" applyAlignment="1">
      <alignment horizontal="center"/>
    </xf>
    <xf numFmtId="0" fontId="10" fillId="0" borderId="8" xfId="0" applyFont="1" applyBorder="1"/>
    <xf numFmtId="0" fontId="11" fillId="0" borderId="8" xfId="0" applyFont="1" applyBorder="1" applyAlignment="1">
      <alignment horizontal="center"/>
    </xf>
    <xf numFmtId="0" fontId="12" fillId="6" borderId="8" xfId="0" applyFont="1" applyFill="1" applyBorder="1" applyAlignment="1">
      <alignment horizontal="center"/>
    </xf>
    <xf numFmtId="0" fontId="13" fillId="0" borderId="8" xfId="0" applyFont="1" applyBorder="1"/>
    <xf numFmtId="0" fontId="15" fillId="7" borderId="10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0" fontId="15" fillId="7" borderId="11" xfId="0" applyFont="1" applyFill="1" applyBorder="1" applyAlignment="1">
      <alignment horizontal="center"/>
    </xf>
    <xf numFmtId="0" fontId="13" fillId="7" borderId="11" xfId="0" applyFont="1" applyFill="1" applyBorder="1" applyAlignment="1">
      <alignment horizontal="center"/>
    </xf>
    <xf numFmtId="0" fontId="14" fillId="0" borderId="8" xfId="0" applyFont="1" applyBorder="1" applyAlignment="1">
      <alignment horizontal="center"/>
    </xf>
  </cellXfs>
  <cellStyles count="3">
    <cellStyle name="blue" xfId="2" xr:uid="{5FACF2B3-5CE5-4459-8BD9-70E5A8D7F46B}"/>
    <cellStyle name="Normal" xfId="0" builtinId="0"/>
    <cellStyle name="Normal 2" xfId="1" xr:uid="{A7A91408-2222-473A-8902-271543A56B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3"/>
  <sheetViews>
    <sheetView showGridLines="0" workbookViewId="0">
      <selection activeCell="J11" sqref="J11:J23"/>
    </sheetView>
  </sheetViews>
  <sheetFormatPr defaultRowHeight="14.5"/>
  <cols>
    <col min="2" max="2" width="27.26953125" customWidth="1"/>
    <col min="3" max="3" width="13.81640625" customWidth="1"/>
    <col min="4" max="8" width="7" bestFit="1" customWidth="1"/>
    <col min="9" max="9" width="12.54296875" customWidth="1"/>
    <col min="10" max="10" width="11.54296875" bestFit="1" customWidth="1"/>
    <col min="11" max="11" width="11.26953125" bestFit="1" customWidth="1"/>
  </cols>
  <sheetData>
    <row r="2" spans="2:10" ht="18.5">
      <c r="B2" s="10" t="s">
        <v>0</v>
      </c>
    </row>
    <row r="4" spans="2:10" ht="15" thickBot="1"/>
    <row r="5" spans="2:10" ht="15.5">
      <c r="B5" s="11" t="s">
        <v>1</v>
      </c>
      <c r="C5" s="12" t="s">
        <v>2</v>
      </c>
    </row>
    <row r="6" spans="2:10" ht="15.5">
      <c r="B6" s="13" t="s">
        <v>3</v>
      </c>
      <c r="C6" s="14" t="s">
        <v>4</v>
      </c>
    </row>
    <row r="7" spans="2:10" ht="16" thickBot="1">
      <c r="B7" s="15" t="s">
        <v>5</v>
      </c>
      <c r="C7" s="16" t="s">
        <v>6</v>
      </c>
    </row>
    <row r="9" spans="2:10" ht="15" thickBot="1"/>
    <row r="10" spans="2:10">
      <c r="B10" s="1" t="s">
        <v>7</v>
      </c>
      <c r="C10" s="2">
        <v>201514</v>
      </c>
      <c r="D10" s="2">
        <v>201515</v>
      </c>
      <c r="E10" s="2">
        <v>201516</v>
      </c>
      <c r="F10" s="2">
        <v>201517</v>
      </c>
      <c r="G10" s="2">
        <v>201518</v>
      </c>
      <c r="H10" s="2">
        <v>201519</v>
      </c>
      <c r="I10" s="2" t="s">
        <v>8</v>
      </c>
      <c r="J10" s="3" t="s">
        <v>9</v>
      </c>
    </row>
    <row r="11" spans="2:10">
      <c r="B11" s="4" t="s">
        <v>10</v>
      </c>
      <c r="C11" s="5">
        <v>5</v>
      </c>
      <c r="D11" s="5">
        <v>4</v>
      </c>
      <c r="E11" s="5">
        <v>10</v>
      </c>
      <c r="F11" s="5" t="s">
        <v>11</v>
      </c>
      <c r="G11" s="5">
        <v>6</v>
      </c>
      <c r="H11" s="5">
        <v>4</v>
      </c>
      <c r="I11" s="6">
        <f>SUM(C11:H11)</f>
        <v>29</v>
      </c>
      <c r="J11" s="7" t="str" cm="1">
        <f t="array" ref="J11">_xlfn.IFS(I11&gt;19,"Stacked",AND(I11 &gt;=15, I11&lt;=19),"Exception",I11&lt;15,"Not Stacked")</f>
        <v>Stacked</v>
      </c>
    </row>
    <row r="12" spans="2:10">
      <c r="B12" s="4" t="s">
        <v>12</v>
      </c>
      <c r="C12" s="5">
        <v>1</v>
      </c>
      <c r="D12" s="5">
        <v>1</v>
      </c>
      <c r="E12" s="5">
        <v>2</v>
      </c>
      <c r="F12" s="5">
        <v>11</v>
      </c>
      <c r="G12" s="5">
        <v>2</v>
      </c>
      <c r="H12" s="5" t="s">
        <v>11</v>
      </c>
      <c r="I12" s="6">
        <f t="shared" ref="I12:I23" si="0">SUM(C12:H12)</f>
        <v>17</v>
      </c>
      <c r="J12" s="7" t="str" cm="1">
        <f t="array" ref="J12">_xlfn.IFS(I12&gt;19,"Stacked",AND(I12 &gt;=15, I12&lt;=19),"Exception",I12&lt;15,"Not Stacked")</f>
        <v>Exception</v>
      </c>
    </row>
    <row r="13" spans="2:10">
      <c r="B13" s="4" t="s">
        <v>13</v>
      </c>
      <c r="C13" s="5">
        <v>2</v>
      </c>
      <c r="D13" s="5">
        <v>3</v>
      </c>
      <c r="E13" s="5">
        <v>1</v>
      </c>
      <c r="F13" s="5">
        <v>2</v>
      </c>
      <c r="G13" s="5">
        <v>1</v>
      </c>
      <c r="H13" s="5" t="s">
        <v>11</v>
      </c>
      <c r="I13" s="6">
        <f t="shared" si="0"/>
        <v>9</v>
      </c>
      <c r="J13" s="7" t="str" cm="1">
        <f t="array" ref="J13">_xlfn.IFS(I13&gt;19,"Stacked",AND(I13 &gt;=15, I13&lt;=19),"Exception",I13&lt;15,"Not Stacked")</f>
        <v>Not Stacked</v>
      </c>
    </row>
    <row r="14" spans="2:10">
      <c r="B14" s="4" t="s">
        <v>14</v>
      </c>
      <c r="C14" s="5">
        <v>5</v>
      </c>
      <c r="D14" s="5" t="s">
        <v>11</v>
      </c>
      <c r="E14" s="5">
        <v>2</v>
      </c>
      <c r="F14" s="5">
        <v>2</v>
      </c>
      <c r="G14" s="5">
        <v>4</v>
      </c>
      <c r="H14" s="5">
        <v>3</v>
      </c>
      <c r="I14" s="6">
        <f t="shared" si="0"/>
        <v>16</v>
      </c>
      <c r="J14" s="7" t="str" cm="1">
        <f t="array" ref="J14">_xlfn.IFS(I14&gt;19,"Stacked",AND(I14 &gt;=15, I14&lt;=19),"Exception",I14&lt;15,"Not Stacked")</f>
        <v>Exception</v>
      </c>
    </row>
    <row r="15" spans="2:10">
      <c r="B15" s="4" t="s">
        <v>15</v>
      </c>
      <c r="C15" s="5">
        <v>8</v>
      </c>
      <c r="D15" s="5">
        <v>4</v>
      </c>
      <c r="E15" s="5">
        <v>4</v>
      </c>
      <c r="F15" s="5">
        <v>2</v>
      </c>
      <c r="G15" s="5">
        <v>1</v>
      </c>
      <c r="H15" s="5" t="s">
        <v>11</v>
      </c>
      <c r="I15" s="6">
        <f t="shared" si="0"/>
        <v>19</v>
      </c>
      <c r="J15" s="7" t="str" cm="1">
        <f t="array" ref="J15">_xlfn.IFS(I15&gt;19,"Stacked",AND(I15 &gt;=15, I15&lt;=19),"Exception",I15&lt;15,"Not Stacked")</f>
        <v>Exception</v>
      </c>
    </row>
    <row r="16" spans="2:10">
      <c r="B16" s="4" t="s">
        <v>16</v>
      </c>
      <c r="C16" s="5">
        <v>1</v>
      </c>
      <c r="D16" s="5">
        <v>2</v>
      </c>
      <c r="E16" s="5" t="s">
        <v>11</v>
      </c>
      <c r="F16" s="5">
        <v>7</v>
      </c>
      <c r="G16" s="5">
        <v>1</v>
      </c>
      <c r="H16" s="5" t="s">
        <v>11</v>
      </c>
      <c r="I16" s="6">
        <f t="shared" si="0"/>
        <v>11</v>
      </c>
      <c r="J16" s="7" t="str" cm="1">
        <f t="array" ref="J16">_xlfn.IFS(I16&gt;19,"Stacked",AND(I16 &gt;=15, I16&lt;=19),"Exception",I16&lt;15,"Not Stacked")</f>
        <v>Not Stacked</v>
      </c>
    </row>
    <row r="17" spans="2:10">
      <c r="B17" s="4" t="s">
        <v>17</v>
      </c>
      <c r="C17" s="5">
        <v>1</v>
      </c>
      <c r="D17" s="5">
        <v>1</v>
      </c>
      <c r="E17" s="5">
        <v>7</v>
      </c>
      <c r="F17" s="5">
        <v>3</v>
      </c>
      <c r="G17" s="5">
        <v>6</v>
      </c>
      <c r="H17" s="5" t="s">
        <v>11</v>
      </c>
      <c r="I17" s="6">
        <f t="shared" si="0"/>
        <v>18</v>
      </c>
      <c r="J17" s="7" t="str" cm="1">
        <f t="array" ref="J17">_xlfn.IFS(I17&gt;19,"Stacked",AND(I17 &gt;=15, I17&lt;=19),"Exception",I17&lt;15,"Not Stacked")</f>
        <v>Exception</v>
      </c>
    </row>
    <row r="18" spans="2:10">
      <c r="B18" s="4" t="s">
        <v>18</v>
      </c>
      <c r="C18" s="5">
        <v>4</v>
      </c>
      <c r="D18" s="5" t="s">
        <v>11</v>
      </c>
      <c r="E18" s="5">
        <v>1</v>
      </c>
      <c r="F18" s="5">
        <v>12</v>
      </c>
      <c r="G18" s="5">
        <v>3</v>
      </c>
      <c r="H18" s="5">
        <v>6</v>
      </c>
      <c r="I18" s="6">
        <f t="shared" si="0"/>
        <v>26</v>
      </c>
      <c r="J18" s="7" t="str" cm="1">
        <f t="array" ref="J18">_xlfn.IFS(I18&gt;19,"Stacked",AND(I18 &gt;=15, I18&lt;=19),"Exception",I18&lt;15,"Not Stacked")</f>
        <v>Stacked</v>
      </c>
    </row>
    <row r="19" spans="2:10">
      <c r="B19" s="4" t="s">
        <v>19</v>
      </c>
      <c r="C19" s="5">
        <v>6</v>
      </c>
      <c r="D19" s="5">
        <v>1</v>
      </c>
      <c r="E19" s="5">
        <v>9</v>
      </c>
      <c r="F19" s="5" t="s">
        <v>11</v>
      </c>
      <c r="G19" s="5">
        <v>1</v>
      </c>
      <c r="H19" s="5">
        <v>4</v>
      </c>
      <c r="I19" s="6">
        <f t="shared" si="0"/>
        <v>21</v>
      </c>
      <c r="J19" s="7" t="str" cm="1">
        <f t="array" ref="J19">_xlfn.IFS(I19&gt;19,"Stacked",AND(I19 &gt;=15, I19&lt;=19),"Exception",I19&lt;15,"Not Stacked")</f>
        <v>Stacked</v>
      </c>
    </row>
    <row r="20" spans="2:10">
      <c r="B20" s="4" t="s">
        <v>20</v>
      </c>
      <c r="C20" s="5">
        <v>3</v>
      </c>
      <c r="D20" s="5" t="s">
        <v>11</v>
      </c>
      <c r="E20" s="5">
        <v>3</v>
      </c>
      <c r="F20" s="5">
        <v>9</v>
      </c>
      <c r="G20" s="5">
        <v>6</v>
      </c>
      <c r="H20" s="5" t="s">
        <v>11</v>
      </c>
      <c r="I20" s="6">
        <f t="shared" si="0"/>
        <v>21</v>
      </c>
      <c r="J20" s="7" t="str" cm="1">
        <f t="array" ref="J20">_xlfn.IFS(I20&gt;19,"Stacked",AND(I20 &gt;=15, I20&lt;=19),"Exception",I20&lt;15,"Not Stacked")</f>
        <v>Stacked</v>
      </c>
    </row>
    <row r="21" spans="2:10">
      <c r="B21" s="4" t="s">
        <v>21</v>
      </c>
      <c r="C21" s="5">
        <v>12</v>
      </c>
      <c r="D21" s="5">
        <v>10</v>
      </c>
      <c r="E21" s="5">
        <v>5</v>
      </c>
      <c r="F21" s="5">
        <v>9</v>
      </c>
      <c r="G21" s="5">
        <v>3</v>
      </c>
      <c r="H21" s="5">
        <v>8</v>
      </c>
      <c r="I21" s="6">
        <f t="shared" si="0"/>
        <v>47</v>
      </c>
      <c r="J21" s="7" t="str" cm="1">
        <f t="array" ref="J21">_xlfn.IFS(I21&gt;19,"Stacked",AND(I21 &gt;=15, I21&lt;=19),"Exception",I21&lt;15,"Not Stacked")</f>
        <v>Stacked</v>
      </c>
    </row>
    <row r="22" spans="2:10">
      <c r="B22" s="4" t="s">
        <v>22</v>
      </c>
      <c r="C22" s="5">
        <v>7</v>
      </c>
      <c r="D22" s="5">
        <v>6</v>
      </c>
      <c r="E22" s="5">
        <v>2</v>
      </c>
      <c r="F22" s="5">
        <v>12</v>
      </c>
      <c r="G22" s="5">
        <v>6</v>
      </c>
      <c r="H22" s="5" t="s">
        <v>11</v>
      </c>
      <c r="I22" s="6">
        <f t="shared" si="0"/>
        <v>33</v>
      </c>
      <c r="J22" s="7" t="str" cm="1">
        <f t="array" ref="J22">_xlfn.IFS(I22&gt;19,"Stacked",AND(I22 &gt;=15, I22&lt;=19),"Exception",I22&lt;15,"Not Stacked")</f>
        <v>Stacked</v>
      </c>
    </row>
    <row r="23" spans="2:10" ht="15" thickBot="1">
      <c r="B23" s="8" t="s">
        <v>23</v>
      </c>
      <c r="C23" s="9">
        <v>3</v>
      </c>
      <c r="D23" s="9">
        <v>9</v>
      </c>
      <c r="E23" s="9">
        <v>0</v>
      </c>
      <c r="F23" s="9">
        <v>9</v>
      </c>
      <c r="G23" s="9">
        <v>5</v>
      </c>
      <c r="H23" s="9">
        <v>10</v>
      </c>
      <c r="I23" s="6">
        <f t="shared" si="0"/>
        <v>36</v>
      </c>
      <c r="J23" s="7" t="str" cm="1">
        <f t="array" ref="J23">_xlfn.IFS(I23&gt;19,"Stacked",AND(I23 &gt;=15, I23&lt;=19),"Exception",I23&lt;15,"Not Stacked")</f>
        <v>Stacked</v>
      </c>
    </row>
  </sheetData>
  <pageMargins left="0.7" right="0.7" top="0.75" bottom="0.75" header="0.3" footer="0.3"/>
  <pageSetup orientation="portrait" r:id="rId1"/>
  <headerFooter>
    <oddFooter>&amp;L&amp;"museo sans for dell,Bold"&amp;KAAAAAA                 Dell - Internal Use - Confidential</oddFooter>
    <evenFooter>&amp;L&amp;"museo sans for dell,Bold"&amp;KAAAAAA                 Dell - Internal Use - Confidential</evenFooter>
    <firstFooter>&amp;L&amp;"museo sans for dell,Bold"&amp;KAAAAAA                 Dell - Internal Use - Confidential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52DA9-2839-4549-8381-F4608ED4D907}">
  <dimension ref="A1:O49"/>
  <sheetViews>
    <sheetView topLeftCell="B1" workbookViewId="0">
      <selection activeCell="O11" sqref="O11:O48"/>
    </sheetView>
  </sheetViews>
  <sheetFormatPr defaultRowHeight="14.5"/>
  <cols>
    <col min="4" max="4" width="10.7265625" bestFit="1" customWidth="1"/>
    <col min="6" max="6" width="10.81640625" bestFit="1" customWidth="1"/>
    <col min="7" max="7" width="14.26953125" bestFit="1" customWidth="1"/>
    <col min="8" max="8" width="14.1796875" bestFit="1" customWidth="1"/>
    <col min="10" max="10" width="13.08984375" bestFit="1" customWidth="1"/>
    <col min="12" max="12" width="13.6328125" bestFit="1" customWidth="1"/>
    <col min="14" max="14" width="23.453125" bestFit="1" customWidth="1"/>
  </cols>
  <sheetData>
    <row r="1" spans="1:15" ht="15.5">
      <c r="C1" s="21" t="s">
        <v>103</v>
      </c>
    </row>
    <row r="2" spans="1:15">
      <c r="B2" s="27">
        <v>1</v>
      </c>
      <c r="C2" s="27" t="s">
        <v>120</v>
      </c>
    </row>
    <row r="3" spans="1:15">
      <c r="B3" s="27">
        <v>2</v>
      </c>
      <c r="C3" s="27" t="s">
        <v>113</v>
      </c>
    </row>
    <row r="4" spans="1:15">
      <c r="B4" s="27">
        <v>3</v>
      </c>
      <c r="C4" s="27" t="s">
        <v>117</v>
      </c>
    </row>
    <row r="5" spans="1:15">
      <c r="B5" s="27">
        <v>4</v>
      </c>
      <c r="C5" s="27" t="s">
        <v>118</v>
      </c>
    </row>
    <row r="6" spans="1:15">
      <c r="B6" s="27">
        <v>5</v>
      </c>
      <c r="C6" s="27" t="s">
        <v>114</v>
      </c>
    </row>
    <row r="7" spans="1:15">
      <c r="B7" s="27">
        <v>6</v>
      </c>
      <c r="C7" s="27" t="s">
        <v>181</v>
      </c>
    </row>
    <row r="8" spans="1:15">
      <c r="B8" s="27"/>
      <c r="C8" s="27"/>
    </row>
    <row r="10" spans="1:15" s="17" customFormat="1">
      <c r="A10" s="18" t="s">
        <v>25</v>
      </c>
      <c r="B10" s="18" t="s">
        <v>26</v>
      </c>
      <c r="C10" s="18" t="s">
        <v>27</v>
      </c>
      <c r="D10" s="18" t="s">
        <v>28</v>
      </c>
      <c r="E10" s="18" t="s">
        <v>119</v>
      </c>
      <c r="F10" s="18" t="s">
        <v>29</v>
      </c>
      <c r="G10" s="18" t="s">
        <v>104</v>
      </c>
      <c r="H10" s="18" t="s">
        <v>102</v>
      </c>
      <c r="I10" s="18" t="s">
        <v>182</v>
      </c>
      <c r="J10" s="25" t="s">
        <v>187</v>
      </c>
      <c r="K10" s="25" t="s">
        <v>188</v>
      </c>
      <c r="L10" s="25" t="s">
        <v>189</v>
      </c>
      <c r="M10" s="25">
        <v>4</v>
      </c>
      <c r="N10" s="25" t="s">
        <v>190</v>
      </c>
      <c r="O10" s="25" t="s">
        <v>191</v>
      </c>
    </row>
    <row r="11" spans="1:15">
      <c r="A11" s="22">
        <v>150773</v>
      </c>
      <c r="B11" s="23" t="s">
        <v>30</v>
      </c>
      <c r="C11" s="23" t="s">
        <v>31</v>
      </c>
      <c r="D11" s="24">
        <v>26860</v>
      </c>
      <c r="E11" s="22" t="s">
        <v>32</v>
      </c>
      <c r="F11" s="23" t="s">
        <v>33</v>
      </c>
      <c r="G11" s="23" t="s">
        <v>105</v>
      </c>
      <c r="H11" s="19">
        <v>85000</v>
      </c>
      <c r="I11" s="23" t="s">
        <v>183</v>
      </c>
      <c r="J11" s="26" t="str">
        <f>IF(AND(E11="Female",H11&lt;50000),"Eligible for Gift","Not Eligible")</f>
        <v>Not Eligible</v>
      </c>
      <c r="K11" s="26">
        <f>IF(AND(G11="CCD",H11&lt;30000),9000,0)</f>
        <v>0</v>
      </c>
      <c r="L11" s="26" t="str">
        <f>IF(YEAR(D11)&lt;1980,"Retired","Not Retired")</f>
        <v>Retired</v>
      </c>
      <c r="M11" s="26">
        <f>IF(AND(OR(G11="Sales",G11="Marketing"),H11&lt;45000),25000,0)</f>
        <v>0</v>
      </c>
      <c r="N11" s="26" t="str">
        <f>IF(OR(G11="Director",G11="CEO"),"No voucher","1500 rs. Amazon Voucher")</f>
        <v>1500 rs. Amazon Voucher</v>
      </c>
      <c r="O11" s="26" cm="1">
        <f t="array" ref="O11">_xlfn.IFS(I11="North",5000,I11="South",4000,I11="East",4200,I11="Mid West",3800)</f>
        <v>5000</v>
      </c>
    </row>
    <row r="12" spans="1:15">
      <c r="A12" s="22">
        <v>150777</v>
      </c>
      <c r="B12" s="23" t="s">
        <v>34</v>
      </c>
      <c r="C12" s="23" t="s">
        <v>35</v>
      </c>
      <c r="D12" s="24">
        <v>21123</v>
      </c>
      <c r="E12" s="22" t="s">
        <v>32</v>
      </c>
      <c r="F12" s="23" t="s">
        <v>33</v>
      </c>
      <c r="G12" s="23" t="s">
        <v>106</v>
      </c>
      <c r="H12" s="19">
        <v>22000</v>
      </c>
      <c r="I12" s="23" t="s">
        <v>183</v>
      </c>
      <c r="J12" s="26" t="str">
        <f t="shared" ref="J12:J48" si="0">IF(AND(E12="Female",H12&lt;50000),"Eligible for Gift","Not Eligible")</f>
        <v>Not Eligible</v>
      </c>
      <c r="K12" s="26">
        <f t="shared" ref="K12:K48" si="1">IF(AND(G12="CCD",H12&lt;30000),9000,0)</f>
        <v>0</v>
      </c>
      <c r="L12" s="26" t="str">
        <f>IF(YEAR(D12)&lt;1980,"Retired","Not Retired")</f>
        <v>Retired</v>
      </c>
      <c r="M12" s="26">
        <f t="shared" ref="M12:M48" si="2">IF(AND(OR(G12="Sales",G12="Marketing"),H12&lt;45000),25000,0)</f>
        <v>25000</v>
      </c>
      <c r="N12" s="26" t="str">
        <f t="shared" ref="N12:N48" si="3">IF(OR(G12="Director",G12="CEO"),"No voucher","1500 rs. Amazon Voucher")</f>
        <v>1500 rs. Amazon Voucher</v>
      </c>
      <c r="O12" s="26" cm="1">
        <f t="array" ref="O12">_xlfn.IFS(I12="North",5000,I12="South",4000,I12="East",4200,I12="Mid West",3800)</f>
        <v>5000</v>
      </c>
    </row>
    <row r="13" spans="1:15">
      <c r="A13" s="22">
        <v>150784</v>
      </c>
      <c r="B13" s="23" t="s">
        <v>36</v>
      </c>
      <c r="C13" s="23" t="s">
        <v>37</v>
      </c>
      <c r="D13" s="24">
        <v>28365</v>
      </c>
      <c r="E13" s="22" t="s">
        <v>62</v>
      </c>
      <c r="F13" s="23" t="s">
        <v>38</v>
      </c>
      <c r="G13" s="23" t="s">
        <v>107</v>
      </c>
      <c r="H13" s="19">
        <v>35000</v>
      </c>
      <c r="I13" s="23" t="s">
        <v>183</v>
      </c>
      <c r="J13" s="26" t="str">
        <f t="shared" si="0"/>
        <v>Eligible for Gift</v>
      </c>
      <c r="K13" s="26">
        <f t="shared" si="1"/>
        <v>0</v>
      </c>
      <c r="L13" s="26" t="str">
        <f>IF(YEAR(D13)&lt;1980,"Retired","Not Retired")</f>
        <v>Retired</v>
      </c>
      <c r="M13" s="26">
        <f t="shared" si="2"/>
        <v>0</v>
      </c>
      <c r="N13" s="26" t="str">
        <f t="shared" si="3"/>
        <v>1500 rs. Amazon Voucher</v>
      </c>
      <c r="O13" s="26" cm="1">
        <f t="array" ref="O13">_xlfn.IFS(I13="North",5000,I13="South",4000,I13="East",4200,I13="Mid West",3800)</f>
        <v>5000</v>
      </c>
    </row>
    <row r="14" spans="1:15">
      <c r="A14" s="22">
        <v>150791</v>
      </c>
      <c r="B14" s="23" t="s">
        <v>39</v>
      </c>
      <c r="C14" s="23" t="s">
        <v>40</v>
      </c>
      <c r="D14" s="24">
        <v>23346</v>
      </c>
      <c r="E14" s="22" t="s">
        <v>62</v>
      </c>
      <c r="F14" s="23" t="s">
        <v>33</v>
      </c>
      <c r="G14" s="23" t="s">
        <v>107</v>
      </c>
      <c r="H14" s="19">
        <v>67000</v>
      </c>
      <c r="I14" s="23" t="s">
        <v>184</v>
      </c>
      <c r="J14" s="26" t="str">
        <f t="shared" si="0"/>
        <v>Not Eligible</v>
      </c>
      <c r="K14" s="26">
        <f t="shared" si="1"/>
        <v>0</v>
      </c>
      <c r="L14" s="26" t="str">
        <f>IF(YEAR(D14)&lt;1980,"Retired","Not Retired")</f>
        <v>Retired</v>
      </c>
      <c r="M14" s="26">
        <f t="shared" si="2"/>
        <v>0</v>
      </c>
      <c r="N14" s="26" t="str">
        <f t="shared" si="3"/>
        <v>1500 rs. Amazon Voucher</v>
      </c>
      <c r="O14" s="26" cm="1">
        <f t="array" ref="O14">_xlfn.IFS(I14="North",5000,I14="South",4000,I14="East",4200,I14="Mid West",3800)</f>
        <v>4000</v>
      </c>
    </row>
    <row r="15" spans="1:15">
      <c r="A15" s="22">
        <v>150798</v>
      </c>
      <c r="B15" s="23" t="s">
        <v>41</v>
      </c>
      <c r="C15" s="23" t="s">
        <v>42</v>
      </c>
      <c r="D15" s="24">
        <v>28276</v>
      </c>
      <c r="E15" s="22" t="s">
        <v>62</v>
      </c>
      <c r="F15" s="23" t="s">
        <v>33</v>
      </c>
      <c r="G15" s="23" t="s">
        <v>107</v>
      </c>
      <c r="H15" s="19">
        <v>81000</v>
      </c>
      <c r="I15" s="23" t="s">
        <v>183</v>
      </c>
      <c r="J15" s="26" t="str">
        <f t="shared" si="0"/>
        <v>Not Eligible</v>
      </c>
      <c r="K15" s="26">
        <f t="shared" si="1"/>
        <v>0</v>
      </c>
      <c r="L15" s="26" t="str">
        <f>IF(YEAR(D15)&lt;1980,"Retired","Not Retired")</f>
        <v>Retired</v>
      </c>
      <c r="M15" s="26">
        <f t="shared" si="2"/>
        <v>0</v>
      </c>
      <c r="N15" s="26" t="str">
        <f t="shared" si="3"/>
        <v>1500 rs. Amazon Voucher</v>
      </c>
      <c r="O15" s="26" cm="1">
        <f t="array" ref="O15">_xlfn.IFS(I15="North",5000,I15="South",4000,I15="East",4200,I15="Mid West",3800)</f>
        <v>5000</v>
      </c>
    </row>
    <row r="16" spans="1:15">
      <c r="A16" s="22">
        <v>150805</v>
      </c>
      <c r="B16" s="23" t="s">
        <v>39</v>
      </c>
      <c r="C16" s="23" t="s">
        <v>43</v>
      </c>
      <c r="D16" s="24">
        <v>26172</v>
      </c>
      <c r="E16" s="22" t="s">
        <v>32</v>
      </c>
      <c r="F16" s="23" t="s">
        <v>33</v>
      </c>
      <c r="G16" s="23" t="s">
        <v>116</v>
      </c>
      <c r="H16" s="19">
        <v>91000</v>
      </c>
      <c r="I16" s="23" t="s">
        <v>183</v>
      </c>
      <c r="J16" s="26" t="str">
        <f t="shared" si="0"/>
        <v>Not Eligible</v>
      </c>
      <c r="K16" s="26">
        <f t="shared" si="1"/>
        <v>0</v>
      </c>
      <c r="L16" s="26" t="str">
        <f>IF(YEAR(D16)&lt;1980,"Retired","Not Retired")</f>
        <v>Retired</v>
      </c>
      <c r="M16" s="26">
        <f t="shared" si="2"/>
        <v>0</v>
      </c>
      <c r="N16" s="26" t="str">
        <f t="shared" si="3"/>
        <v>No voucher</v>
      </c>
      <c r="O16" s="26" cm="1">
        <f t="array" ref="O16">_xlfn.IFS(I16="North",5000,I16="South",4000,I16="East",4200,I16="Mid West",3800)</f>
        <v>5000</v>
      </c>
    </row>
    <row r="17" spans="1:15">
      <c r="A17" s="22">
        <v>150814</v>
      </c>
      <c r="B17" s="23" t="s">
        <v>44</v>
      </c>
      <c r="C17" s="23" t="s">
        <v>45</v>
      </c>
      <c r="D17" s="24">
        <v>26246</v>
      </c>
      <c r="E17" s="22" t="s">
        <v>32</v>
      </c>
      <c r="F17" s="23" t="s">
        <v>33</v>
      </c>
      <c r="G17" s="23" t="s">
        <v>109</v>
      </c>
      <c r="H17" s="19">
        <v>50000</v>
      </c>
      <c r="I17" s="23" t="s">
        <v>185</v>
      </c>
      <c r="J17" s="26" t="str">
        <f t="shared" si="0"/>
        <v>Not Eligible</v>
      </c>
      <c r="K17" s="26">
        <f t="shared" si="1"/>
        <v>0</v>
      </c>
      <c r="L17" s="26" t="str">
        <f>IF(YEAR(D17)&lt;1980,"Retired","Not Retired")</f>
        <v>Retired</v>
      </c>
      <c r="M17" s="26">
        <f t="shared" si="2"/>
        <v>0</v>
      </c>
      <c r="N17" s="26" t="str">
        <f t="shared" si="3"/>
        <v>1500 rs. Amazon Voucher</v>
      </c>
      <c r="O17" s="26" cm="1">
        <f t="array" ref="O17">_xlfn.IFS(I17="North",5000,I17="South",4000,I17="East",4200,I17="Mid West",3800)</f>
        <v>3800</v>
      </c>
    </row>
    <row r="18" spans="1:15">
      <c r="A18" s="22">
        <v>150821</v>
      </c>
      <c r="B18" s="23" t="s">
        <v>46</v>
      </c>
      <c r="C18" s="23" t="s">
        <v>47</v>
      </c>
      <c r="D18" s="24">
        <v>29966</v>
      </c>
      <c r="E18" s="22" t="s">
        <v>32</v>
      </c>
      <c r="F18" s="23" t="s">
        <v>38</v>
      </c>
      <c r="G18" s="23" t="s">
        <v>110</v>
      </c>
      <c r="H18" s="19">
        <v>26000</v>
      </c>
      <c r="I18" s="23" t="s">
        <v>185</v>
      </c>
      <c r="J18" s="26" t="str">
        <f t="shared" si="0"/>
        <v>Not Eligible</v>
      </c>
      <c r="K18" s="26">
        <f t="shared" si="1"/>
        <v>9000</v>
      </c>
      <c r="L18" s="26" t="str">
        <f>IF(YEAR(D18)&lt;1980,"Retired","Not Retired")</f>
        <v>Not Retired</v>
      </c>
      <c r="M18" s="26">
        <f t="shared" si="2"/>
        <v>0</v>
      </c>
      <c r="N18" s="26" t="str">
        <f t="shared" si="3"/>
        <v>1500 rs. Amazon Voucher</v>
      </c>
      <c r="O18" s="26" cm="1">
        <f t="array" ref="O18">_xlfn.IFS(I18="North",5000,I18="South",4000,I18="East",4200,I18="Mid West",3800)</f>
        <v>3800</v>
      </c>
    </row>
    <row r="19" spans="1:15">
      <c r="A19" s="22">
        <v>150830</v>
      </c>
      <c r="B19" s="23" t="s">
        <v>48</v>
      </c>
      <c r="C19" s="23" t="s">
        <v>49</v>
      </c>
      <c r="D19" s="24">
        <v>29037</v>
      </c>
      <c r="E19" s="22" t="s">
        <v>62</v>
      </c>
      <c r="F19" s="23" t="s">
        <v>33</v>
      </c>
      <c r="G19" s="23" t="s">
        <v>24</v>
      </c>
      <c r="H19" s="19">
        <v>52000</v>
      </c>
      <c r="I19" s="23" t="s">
        <v>186</v>
      </c>
      <c r="J19" s="26" t="str">
        <f t="shared" si="0"/>
        <v>Not Eligible</v>
      </c>
      <c r="K19" s="26">
        <f t="shared" si="1"/>
        <v>0</v>
      </c>
      <c r="L19" s="26" t="str">
        <f>IF(YEAR(D19)&lt;1980,"Retired","Not Retired")</f>
        <v>Retired</v>
      </c>
      <c r="M19" s="26">
        <f t="shared" si="2"/>
        <v>0</v>
      </c>
      <c r="N19" s="26" t="str">
        <f t="shared" si="3"/>
        <v>1500 rs. Amazon Voucher</v>
      </c>
      <c r="O19" s="26" cm="1">
        <f t="array" ref="O19">_xlfn.IFS(I19="North",5000,I19="South",4000,I19="East",4200,I19="Mid West",3800)</f>
        <v>4200</v>
      </c>
    </row>
    <row r="20" spans="1:15">
      <c r="A20" s="22">
        <v>150834</v>
      </c>
      <c r="B20" s="23" t="s">
        <v>50</v>
      </c>
      <c r="C20" s="23" t="s">
        <v>51</v>
      </c>
      <c r="D20" s="24">
        <v>31199</v>
      </c>
      <c r="E20" s="22" t="s">
        <v>62</v>
      </c>
      <c r="F20" s="23" t="s">
        <v>33</v>
      </c>
      <c r="G20" s="23" t="s">
        <v>111</v>
      </c>
      <c r="H20" s="19">
        <v>48000</v>
      </c>
      <c r="I20" s="23" t="s">
        <v>183</v>
      </c>
      <c r="J20" s="26" t="str">
        <f t="shared" si="0"/>
        <v>Eligible for Gift</v>
      </c>
      <c r="K20" s="26">
        <f t="shared" si="1"/>
        <v>0</v>
      </c>
      <c r="L20" s="26" t="str">
        <f>IF(YEAR(D20)&lt;1980,"Retired","Not Retired")</f>
        <v>Not Retired</v>
      </c>
      <c r="M20" s="26">
        <f t="shared" si="2"/>
        <v>0</v>
      </c>
      <c r="N20" s="26" t="str">
        <f t="shared" si="3"/>
        <v>1500 rs. Amazon Voucher</v>
      </c>
      <c r="O20" s="26" cm="1">
        <f t="array" ref="O20">_xlfn.IFS(I20="North",5000,I20="South",4000,I20="East",4200,I20="Mid West",3800)</f>
        <v>5000</v>
      </c>
    </row>
    <row r="21" spans="1:15">
      <c r="A21" s="22">
        <v>150840</v>
      </c>
      <c r="B21" s="23" t="s">
        <v>52</v>
      </c>
      <c r="C21" s="23" t="s">
        <v>53</v>
      </c>
      <c r="D21" s="24">
        <v>23136</v>
      </c>
      <c r="E21" s="22" t="s">
        <v>62</v>
      </c>
      <c r="F21" s="23" t="s">
        <v>33</v>
      </c>
      <c r="G21" s="23" t="s">
        <v>109</v>
      </c>
      <c r="H21" s="19">
        <v>20000</v>
      </c>
      <c r="I21" s="23" t="s">
        <v>184</v>
      </c>
      <c r="J21" s="26" t="str">
        <f t="shared" si="0"/>
        <v>Eligible for Gift</v>
      </c>
      <c r="K21" s="26">
        <f t="shared" si="1"/>
        <v>0</v>
      </c>
      <c r="L21" s="26" t="str">
        <f>IF(YEAR(D21)&lt;1980,"Retired","Not Retired")</f>
        <v>Retired</v>
      </c>
      <c r="M21" s="26">
        <f t="shared" si="2"/>
        <v>0</v>
      </c>
      <c r="N21" s="26" t="str">
        <f t="shared" si="3"/>
        <v>1500 rs. Amazon Voucher</v>
      </c>
      <c r="O21" s="26" cm="1">
        <f t="array" ref="O21">_xlfn.IFS(I21="North",5000,I21="South",4000,I21="East",4200,I21="Mid West",3800)</f>
        <v>4000</v>
      </c>
    </row>
    <row r="22" spans="1:15">
      <c r="A22" s="22">
        <v>150850</v>
      </c>
      <c r="B22" s="23" t="s">
        <v>54</v>
      </c>
      <c r="C22" s="23" t="s">
        <v>55</v>
      </c>
      <c r="D22" s="24">
        <v>32027</v>
      </c>
      <c r="E22" s="22" t="s">
        <v>32</v>
      </c>
      <c r="F22" s="23" t="s">
        <v>33</v>
      </c>
      <c r="G22" s="23" t="s">
        <v>110</v>
      </c>
      <c r="H22" s="19">
        <v>47000</v>
      </c>
      <c r="I22" s="23" t="s">
        <v>186</v>
      </c>
      <c r="J22" s="26" t="str">
        <f t="shared" si="0"/>
        <v>Not Eligible</v>
      </c>
      <c r="K22" s="26">
        <f t="shared" si="1"/>
        <v>0</v>
      </c>
      <c r="L22" s="26" t="str">
        <f>IF(YEAR(D22)&lt;1980,"Retired","Not Retired")</f>
        <v>Not Retired</v>
      </c>
      <c r="M22" s="26">
        <f t="shared" si="2"/>
        <v>0</v>
      </c>
      <c r="N22" s="26" t="str">
        <f t="shared" si="3"/>
        <v>1500 rs. Amazon Voucher</v>
      </c>
      <c r="O22" s="26" cm="1">
        <f t="array" ref="O22">_xlfn.IFS(I22="North",5000,I22="South",4000,I22="East",4200,I22="Mid West",3800)</f>
        <v>4200</v>
      </c>
    </row>
    <row r="23" spans="1:15">
      <c r="A23" s="22">
        <v>150851</v>
      </c>
      <c r="B23" s="23" t="s">
        <v>56</v>
      </c>
      <c r="C23" s="23" t="s">
        <v>57</v>
      </c>
      <c r="D23" s="24">
        <v>29368</v>
      </c>
      <c r="E23" s="22" t="s">
        <v>32</v>
      </c>
      <c r="F23" s="23" t="s">
        <v>38</v>
      </c>
      <c r="G23" s="23" t="s">
        <v>109</v>
      </c>
      <c r="H23" s="19">
        <v>75000</v>
      </c>
      <c r="I23" s="23" t="s">
        <v>186</v>
      </c>
      <c r="J23" s="26" t="str">
        <f t="shared" si="0"/>
        <v>Not Eligible</v>
      </c>
      <c r="K23" s="26">
        <f t="shared" si="1"/>
        <v>0</v>
      </c>
      <c r="L23" s="26" t="str">
        <f>IF(YEAR(D23)&lt;1980,"Retired","Not Retired")</f>
        <v>Not Retired</v>
      </c>
      <c r="M23" s="26">
        <f t="shared" si="2"/>
        <v>0</v>
      </c>
      <c r="N23" s="26" t="str">
        <f t="shared" si="3"/>
        <v>1500 rs. Amazon Voucher</v>
      </c>
      <c r="O23" s="26" cm="1">
        <f t="array" ref="O23">_xlfn.IFS(I23="North",5000,I23="South",4000,I23="East",4200,I23="Mid West",3800)</f>
        <v>4200</v>
      </c>
    </row>
    <row r="24" spans="1:15">
      <c r="A24" s="22">
        <v>150858</v>
      </c>
      <c r="B24" s="23" t="s">
        <v>58</v>
      </c>
      <c r="C24" s="23" t="s">
        <v>59</v>
      </c>
      <c r="D24" s="24">
        <v>34846</v>
      </c>
      <c r="E24" s="22" t="s">
        <v>32</v>
      </c>
      <c r="F24" s="23" t="s">
        <v>33</v>
      </c>
      <c r="G24" s="23" t="s">
        <v>110</v>
      </c>
      <c r="H24" s="19">
        <v>34000</v>
      </c>
      <c r="I24" s="23" t="s">
        <v>186</v>
      </c>
      <c r="J24" s="26" t="str">
        <f t="shared" si="0"/>
        <v>Not Eligible</v>
      </c>
      <c r="K24" s="26">
        <f t="shared" si="1"/>
        <v>0</v>
      </c>
      <c r="L24" s="26" t="str">
        <f>IF(YEAR(D24)&lt;1980,"Retired","Not Retired")</f>
        <v>Not Retired</v>
      </c>
      <c r="M24" s="26">
        <f t="shared" si="2"/>
        <v>0</v>
      </c>
      <c r="N24" s="26" t="str">
        <f t="shared" si="3"/>
        <v>1500 rs. Amazon Voucher</v>
      </c>
      <c r="O24" s="26" cm="1">
        <f t="array" ref="O24">_xlfn.IFS(I24="North",5000,I24="South",4000,I24="East",4200,I24="Mid West",3800)</f>
        <v>4200</v>
      </c>
    </row>
    <row r="25" spans="1:15">
      <c r="A25" s="22">
        <v>150865</v>
      </c>
      <c r="B25" s="23" t="s">
        <v>60</v>
      </c>
      <c r="C25" s="23" t="s">
        <v>61</v>
      </c>
      <c r="D25" s="24">
        <v>31279</v>
      </c>
      <c r="E25" s="22" t="s">
        <v>62</v>
      </c>
      <c r="F25" s="23" t="s">
        <v>33</v>
      </c>
      <c r="G25" s="23" t="s">
        <v>115</v>
      </c>
      <c r="H25" s="19">
        <v>90000</v>
      </c>
      <c r="I25" s="23" t="s">
        <v>184</v>
      </c>
      <c r="J25" s="26" t="str">
        <f t="shared" si="0"/>
        <v>Not Eligible</v>
      </c>
      <c r="K25" s="26">
        <f t="shared" si="1"/>
        <v>0</v>
      </c>
      <c r="L25" s="26" t="str">
        <f>IF(YEAR(D25)&lt;1980,"Retired","Not Retired")</f>
        <v>Not Retired</v>
      </c>
      <c r="M25" s="26">
        <f t="shared" si="2"/>
        <v>0</v>
      </c>
      <c r="N25" s="26" t="str">
        <f t="shared" si="3"/>
        <v>No voucher</v>
      </c>
      <c r="O25" s="26" cm="1">
        <f t="array" ref="O25">_xlfn.IFS(I25="North",5000,I25="South",4000,I25="East",4200,I25="Mid West",3800)</f>
        <v>4000</v>
      </c>
    </row>
    <row r="26" spans="1:15">
      <c r="A26" s="22">
        <v>150867</v>
      </c>
      <c r="B26" s="23" t="s">
        <v>63</v>
      </c>
      <c r="C26" s="23" t="s">
        <v>64</v>
      </c>
      <c r="D26" s="24">
        <v>29028</v>
      </c>
      <c r="E26" s="22" t="s">
        <v>62</v>
      </c>
      <c r="F26" s="23" t="s">
        <v>38</v>
      </c>
      <c r="G26" s="23" t="s">
        <v>105</v>
      </c>
      <c r="H26" s="19">
        <v>49000</v>
      </c>
      <c r="I26" s="23" t="s">
        <v>184</v>
      </c>
      <c r="J26" s="26" t="str">
        <f t="shared" si="0"/>
        <v>Eligible for Gift</v>
      </c>
      <c r="K26" s="26">
        <f t="shared" si="1"/>
        <v>0</v>
      </c>
      <c r="L26" s="26" t="str">
        <f>IF(YEAR(D26)&lt;1980,"Retired","Not Retired")</f>
        <v>Retired</v>
      </c>
      <c r="M26" s="26">
        <f t="shared" si="2"/>
        <v>0</v>
      </c>
      <c r="N26" s="26" t="str">
        <f t="shared" si="3"/>
        <v>1500 rs. Amazon Voucher</v>
      </c>
      <c r="O26" s="26" cm="1">
        <f t="array" ref="O26">_xlfn.IFS(I26="North",5000,I26="South",4000,I26="East",4200,I26="Mid West",3800)</f>
        <v>4000</v>
      </c>
    </row>
    <row r="27" spans="1:15">
      <c r="A27" s="22">
        <v>150874</v>
      </c>
      <c r="B27" s="23" t="s">
        <v>65</v>
      </c>
      <c r="C27" s="23" t="s">
        <v>42</v>
      </c>
      <c r="D27" s="24">
        <v>37890</v>
      </c>
      <c r="E27" s="22" t="s">
        <v>62</v>
      </c>
      <c r="F27" s="23" t="s">
        <v>33</v>
      </c>
      <c r="G27" s="23" t="s">
        <v>106</v>
      </c>
      <c r="H27" s="19">
        <v>27000</v>
      </c>
      <c r="I27" s="23" t="s">
        <v>184</v>
      </c>
      <c r="J27" s="26" t="str">
        <f t="shared" si="0"/>
        <v>Eligible for Gift</v>
      </c>
      <c r="K27" s="26">
        <f t="shared" si="1"/>
        <v>0</v>
      </c>
      <c r="L27" s="26" t="str">
        <f>IF(YEAR(D27)&lt;1980,"Retired","Not Retired")</f>
        <v>Not Retired</v>
      </c>
      <c r="M27" s="26">
        <f t="shared" si="2"/>
        <v>25000</v>
      </c>
      <c r="N27" s="26" t="str">
        <f t="shared" si="3"/>
        <v>1500 rs. Amazon Voucher</v>
      </c>
      <c r="O27" s="26" cm="1">
        <f t="array" ref="O27">_xlfn.IFS(I27="North",5000,I27="South",4000,I27="East",4200,I27="Mid West",3800)</f>
        <v>4000</v>
      </c>
    </row>
    <row r="28" spans="1:15">
      <c r="A28" s="22">
        <v>150881</v>
      </c>
      <c r="B28" s="23" t="s">
        <v>66</v>
      </c>
      <c r="C28" s="23" t="s">
        <v>67</v>
      </c>
      <c r="D28" s="24">
        <v>30337</v>
      </c>
      <c r="E28" s="22" t="s">
        <v>32</v>
      </c>
      <c r="F28" s="23" t="s">
        <v>38</v>
      </c>
      <c r="G28" s="23" t="s">
        <v>107</v>
      </c>
      <c r="H28" s="19">
        <v>92000</v>
      </c>
      <c r="I28" s="23" t="s">
        <v>184</v>
      </c>
      <c r="J28" s="26" t="str">
        <f t="shared" si="0"/>
        <v>Not Eligible</v>
      </c>
      <c r="K28" s="26">
        <f t="shared" si="1"/>
        <v>0</v>
      </c>
      <c r="L28" s="26" t="str">
        <f>IF(YEAR(D28)&lt;1980,"Retired","Not Retired")</f>
        <v>Not Retired</v>
      </c>
      <c r="M28" s="26">
        <f t="shared" si="2"/>
        <v>0</v>
      </c>
      <c r="N28" s="26" t="str">
        <f t="shared" si="3"/>
        <v>1500 rs. Amazon Voucher</v>
      </c>
      <c r="O28" s="26" cm="1">
        <f t="array" ref="O28">_xlfn.IFS(I28="North",5000,I28="South",4000,I28="East",4200,I28="Mid West",3800)</f>
        <v>4000</v>
      </c>
    </row>
    <row r="29" spans="1:15">
      <c r="A29" s="22">
        <v>150888</v>
      </c>
      <c r="B29" s="23" t="s">
        <v>68</v>
      </c>
      <c r="C29" s="23" t="s">
        <v>61</v>
      </c>
      <c r="D29" s="24">
        <v>29221</v>
      </c>
      <c r="E29" s="22" t="s">
        <v>32</v>
      </c>
      <c r="F29" s="23" t="s">
        <v>33</v>
      </c>
      <c r="G29" s="23" t="s">
        <v>108</v>
      </c>
      <c r="H29" s="19">
        <v>43000</v>
      </c>
      <c r="I29" s="23" t="s">
        <v>185</v>
      </c>
      <c r="J29" s="26" t="str">
        <f t="shared" si="0"/>
        <v>Not Eligible</v>
      </c>
      <c r="K29" s="26">
        <f t="shared" si="1"/>
        <v>0</v>
      </c>
      <c r="L29" s="26" t="str">
        <f>IF(YEAR(D29)&lt;1980,"Retired","Not Retired")</f>
        <v>Not Retired</v>
      </c>
      <c r="M29" s="26">
        <f t="shared" si="2"/>
        <v>0</v>
      </c>
      <c r="N29" s="26" t="str">
        <f t="shared" si="3"/>
        <v>1500 rs. Amazon Voucher</v>
      </c>
      <c r="O29" s="26" cm="1">
        <f t="array" ref="O29">_xlfn.IFS(I29="North",5000,I29="South",4000,I29="East",4200,I29="Mid West",3800)</f>
        <v>3800</v>
      </c>
    </row>
    <row r="30" spans="1:15">
      <c r="A30" s="22">
        <v>150894</v>
      </c>
      <c r="B30" s="23" t="s">
        <v>69</v>
      </c>
      <c r="C30" s="23" t="s">
        <v>70</v>
      </c>
      <c r="D30" s="24">
        <v>37124</v>
      </c>
      <c r="E30" s="22" t="s">
        <v>32</v>
      </c>
      <c r="F30" s="23" t="s">
        <v>33</v>
      </c>
      <c r="G30" s="23" t="s">
        <v>109</v>
      </c>
      <c r="H30" s="19">
        <v>67000</v>
      </c>
      <c r="I30" s="23" t="s">
        <v>184</v>
      </c>
      <c r="J30" s="26" t="str">
        <f t="shared" si="0"/>
        <v>Not Eligible</v>
      </c>
      <c r="K30" s="26">
        <f t="shared" si="1"/>
        <v>0</v>
      </c>
      <c r="L30" s="26" t="str">
        <f>IF(YEAR(D30)&lt;1980,"Retired","Not Retired")</f>
        <v>Not Retired</v>
      </c>
      <c r="M30" s="26">
        <f t="shared" si="2"/>
        <v>0</v>
      </c>
      <c r="N30" s="26" t="str">
        <f t="shared" si="3"/>
        <v>1500 rs. Amazon Voucher</v>
      </c>
      <c r="O30" s="26" cm="1">
        <f t="array" ref="O30">_xlfn.IFS(I30="North",5000,I30="South",4000,I30="East",4200,I30="Mid West",3800)</f>
        <v>4000</v>
      </c>
    </row>
    <row r="31" spans="1:15">
      <c r="A31" s="22">
        <v>150899</v>
      </c>
      <c r="B31" s="23" t="s">
        <v>71</v>
      </c>
      <c r="C31" s="23" t="s">
        <v>72</v>
      </c>
      <c r="D31" s="24">
        <v>37400</v>
      </c>
      <c r="E31" s="22" t="s">
        <v>32</v>
      </c>
      <c r="F31" s="23" t="s">
        <v>33</v>
      </c>
      <c r="G31" s="23" t="s">
        <v>110</v>
      </c>
      <c r="H31" s="19">
        <v>50000</v>
      </c>
      <c r="I31" s="23" t="s">
        <v>184</v>
      </c>
      <c r="J31" s="26" t="str">
        <f t="shared" si="0"/>
        <v>Not Eligible</v>
      </c>
      <c r="K31" s="26">
        <f t="shared" si="1"/>
        <v>0</v>
      </c>
      <c r="L31" s="26" t="str">
        <f>IF(YEAR(D31)&lt;1980,"Retired","Not Retired")</f>
        <v>Not Retired</v>
      </c>
      <c r="M31" s="26">
        <f t="shared" si="2"/>
        <v>0</v>
      </c>
      <c r="N31" s="26" t="str">
        <f t="shared" si="3"/>
        <v>1500 rs. Amazon Voucher</v>
      </c>
      <c r="O31" s="26" cm="1">
        <f t="array" ref="O31">_xlfn.IFS(I31="North",5000,I31="South",4000,I31="East",4200,I31="Mid West",3800)</f>
        <v>4000</v>
      </c>
    </row>
    <row r="32" spans="1:15">
      <c r="A32" s="22">
        <v>150901</v>
      </c>
      <c r="B32" s="23" t="s">
        <v>73</v>
      </c>
      <c r="C32" s="23" t="s">
        <v>74</v>
      </c>
      <c r="D32" s="24">
        <v>32946</v>
      </c>
      <c r="E32" s="22" t="s">
        <v>62</v>
      </c>
      <c r="F32" s="23" t="s">
        <v>33</v>
      </c>
      <c r="G32" s="23" t="s">
        <v>24</v>
      </c>
      <c r="H32" s="19">
        <v>53000</v>
      </c>
      <c r="I32" s="23" t="s">
        <v>186</v>
      </c>
      <c r="J32" s="26" t="str">
        <f t="shared" si="0"/>
        <v>Not Eligible</v>
      </c>
      <c r="K32" s="26">
        <f t="shared" si="1"/>
        <v>0</v>
      </c>
      <c r="L32" s="26" t="str">
        <f>IF(YEAR(D32)&lt;1980,"Retired","Not Retired")</f>
        <v>Not Retired</v>
      </c>
      <c r="M32" s="26">
        <f t="shared" si="2"/>
        <v>0</v>
      </c>
      <c r="N32" s="26" t="str">
        <f t="shared" si="3"/>
        <v>1500 rs. Amazon Voucher</v>
      </c>
      <c r="O32" s="26" cm="1">
        <f t="array" ref="O32">_xlfn.IFS(I32="North",5000,I32="South",4000,I32="East",4200,I32="Mid West",3800)</f>
        <v>4200</v>
      </c>
    </row>
    <row r="33" spans="1:15">
      <c r="A33" s="22">
        <v>150905</v>
      </c>
      <c r="B33" s="23" t="s">
        <v>75</v>
      </c>
      <c r="C33" s="23" t="s">
        <v>76</v>
      </c>
      <c r="D33" s="24">
        <v>30819</v>
      </c>
      <c r="E33" s="22" t="s">
        <v>62</v>
      </c>
      <c r="F33" s="23" t="s">
        <v>38</v>
      </c>
      <c r="G33" s="23" t="s">
        <v>111</v>
      </c>
      <c r="H33" s="19">
        <v>62000</v>
      </c>
      <c r="I33" s="23" t="s">
        <v>186</v>
      </c>
      <c r="J33" s="26" t="str">
        <f t="shared" si="0"/>
        <v>Not Eligible</v>
      </c>
      <c r="K33" s="26">
        <f t="shared" si="1"/>
        <v>0</v>
      </c>
      <c r="L33" s="26" t="str">
        <f>IF(YEAR(D33)&lt;1980,"Retired","Not Retired")</f>
        <v>Not Retired</v>
      </c>
      <c r="M33" s="26">
        <f t="shared" si="2"/>
        <v>0</v>
      </c>
      <c r="N33" s="26" t="str">
        <f t="shared" si="3"/>
        <v>1500 rs. Amazon Voucher</v>
      </c>
      <c r="O33" s="26" cm="1">
        <f t="array" ref="O33">_xlfn.IFS(I33="North",5000,I33="South",4000,I33="East",4200,I33="Mid West",3800)</f>
        <v>4200</v>
      </c>
    </row>
    <row r="34" spans="1:15">
      <c r="A34" s="22">
        <v>150912</v>
      </c>
      <c r="B34" s="23" t="s">
        <v>77</v>
      </c>
      <c r="C34" s="23" t="s">
        <v>78</v>
      </c>
      <c r="D34" s="24">
        <v>37629</v>
      </c>
      <c r="E34" s="22" t="s">
        <v>62</v>
      </c>
      <c r="F34" s="23" t="s">
        <v>33</v>
      </c>
      <c r="G34" s="23" t="s">
        <v>112</v>
      </c>
      <c r="H34" s="19">
        <v>81000</v>
      </c>
      <c r="I34" s="23" t="s">
        <v>184</v>
      </c>
      <c r="J34" s="26" t="str">
        <f t="shared" si="0"/>
        <v>Not Eligible</v>
      </c>
      <c r="K34" s="26">
        <f t="shared" si="1"/>
        <v>0</v>
      </c>
      <c r="L34" s="26" t="str">
        <f>IF(YEAR(D34)&lt;1980,"Retired","Not Retired")</f>
        <v>Not Retired</v>
      </c>
      <c r="M34" s="26">
        <f t="shared" si="2"/>
        <v>0</v>
      </c>
      <c r="N34" s="26" t="str">
        <f t="shared" si="3"/>
        <v>1500 rs. Amazon Voucher</v>
      </c>
      <c r="O34" s="26" cm="1">
        <f t="array" ref="O34">_xlfn.IFS(I34="North",5000,I34="South",4000,I34="East",4200,I34="Mid West",3800)</f>
        <v>4000</v>
      </c>
    </row>
    <row r="35" spans="1:15">
      <c r="A35" s="22">
        <v>150921</v>
      </c>
      <c r="B35" s="23" t="s">
        <v>79</v>
      </c>
      <c r="C35" s="23" t="s">
        <v>80</v>
      </c>
      <c r="D35" s="24">
        <v>38092</v>
      </c>
      <c r="E35" s="22" t="s">
        <v>32</v>
      </c>
      <c r="F35" s="23" t="s">
        <v>33</v>
      </c>
      <c r="G35" s="23" t="s">
        <v>105</v>
      </c>
      <c r="H35" s="19">
        <v>19000</v>
      </c>
      <c r="I35" s="23" t="s">
        <v>185</v>
      </c>
      <c r="J35" s="26" t="str">
        <f t="shared" si="0"/>
        <v>Not Eligible</v>
      </c>
      <c r="K35" s="26">
        <f t="shared" si="1"/>
        <v>0</v>
      </c>
      <c r="L35" s="26" t="str">
        <f>IF(YEAR(D35)&lt;1980,"Retired","Not Retired")</f>
        <v>Not Retired</v>
      </c>
      <c r="M35" s="26">
        <f t="shared" si="2"/>
        <v>0</v>
      </c>
      <c r="N35" s="26" t="str">
        <f t="shared" si="3"/>
        <v>1500 rs. Amazon Voucher</v>
      </c>
      <c r="O35" s="26" cm="1">
        <f t="array" ref="O35">_xlfn.IFS(I35="North",5000,I35="South",4000,I35="East",4200,I35="Mid West",3800)</f>
        <v>3800</v>
      </c>
    </row>
    <row r="36" spans="1:15">
      <c r="A36" s="22">
        <v>150929</v>
      </c>
      <c r="B36" s="23" t="s">
        <v>81</v>
      </c>
      <c r="C36" s="23" t="s">
        <v>82</v>
      </c>
      <c r="D36" s="24">
        <v>26739</v>
      </c>
      <c r="E36" s="22" t="s">
        <v>32</v>
      </c>
      <c r="F36" s="23" t="s">
        <v>33</v>
      </c>
      <c r="G36" s="23" t="s">
        <v>106</v>
      </c>
      <c r="H36" s="19">
        <v>58000</v>
      </c>
      <c r="I36" s="23" t="s">
        <v>184</v>
      </c>
      <c r="J36" s="26" t="str">
        <f t="shared" si="0"/>
        <v>Not Eligible</v>
      </c>
      <c r="K36" s="26">
        <f t="shared" si="1"/>
        <v>0</v>
      </c>
      <c r="L36" s="26" t="str">
        <f>IF(YEAR(D36)&lt;1980,"Retired","Not Retired")</f>
        <v>Retired</v>
      </c>
      <c r="M36" s="26">
        <f t="shared" si="2"/>
        <v>0</v>
      </c>
      <c r="N36" s="26" t="str">
        <f t="shared" si="3"/>
        <v>1500 rs. Amazon Voucher</v>
      </c>
      <c r="O36" s="26" cm="1">
        <f t="array" ref="O36">_xlfn.IFS(I36="North",5000,I36="South",4000,I36="East",4200,I36="Mid West",3800)</f>
        <v>4000</v>
      </c>
    </row>
    <row r="37" spans="1:15">
      <c r="A37" s="22">
        <v>150930</v>
      </c>
      <c r="B37" s="23" t="s">
        <v>52</v>
      </c>
      <c r="C37" s="23" t="s">
        <v>83</v>
      </c>
      <c r="D37" s="24">
        <v>37027</v>
      </c>
      <c r="E37" s="22" t="s">
        <v>32</v>
      </c>
      <c r="F37" s="23" t="s">
        <v>33</v>
      </c>
      <c r="G37" s="23" t="s">
        <v>107</v>
      </c>
      <c r="H37" s="19">
        <v>82000</v>
      </c>
      <c r="I37" s="23" t="s">
        <v>184</v>
      </c>
      <c r="J37" s="26" t="str">
        <f t="shared" si="0"/>
        <v>Not Eligible</v>
      </c>
      <c r="K37" s="26">
        <f t="shared" si="1"/>
        <v>0</v>
      </c>
      <c r="L37" s="26" t="str">
        <f>IF(YEAR(D37)&lt;1980,"Retired","Not Retired")</f>
        <v>Not Retired</v>
      </c>
      <c r="M37" s="26">
        <f t="shared" si="2"/>
        <v>0</v>
      </c>
      <c r="N37" s="26" t="str">
        <f t="shared" si="3"/>
        <v>1500 rs. Amazon Voucher</v>
      </c>
      <c r="O37" s="26" cm="1">
        <f t="array" ref="O37">_xlfn.IFS(I37="North",5000,I37="South",4000,I37="East",4200,I37="Mid West",3800)</f>
        <v>4000</v>
      </c>
    </row>
    <row r="38" spans="1:15">
      <c r="A38" s="22">
        <v>150937</v>
      </c>
      <c r="B38" s="23" t="s">
        <v>54</v>
      </c>
      <c r="C38" s="23" t="s">
        <v>84</v>
      </c>
      <c r="D38" s="24">
        <v>24700</v>
      </c>
      <c r="E38" s="22" t="s">
        <v>32</v>
      </c>
      <c r="F38" s="23" t="s">
        <v>33</v>
      </c>
      <c r="G38" s="23" t="s">
        <v>108</v>
      </c>
      <c r="H38" s="19">
        <v>37000</v>
      </c>
      <c r="I38" s="23" t="s">
        <v>183</v>
      </c>
      <c r="J38" s="26" t="str">
        <f t="shared" si="0"/>
        <v>Not Eligible</v>
      </c>
      <c r="K38" s="26">
        <f t="shared" si="1"/>
        <v>0</v>
      </c>
      <c r="L38" s="26" t="str">
        <f>IF(YEAR(D38)&lt;1980,"Retired","Not Retired")</f>
        <v>Retired</v>
      </c>
      <c r="M38" s="26">
        <f t="shared" si="2"/>
        <v>0</v>
      </c>
      <c r="N38" s="26" t="str">
        <f t="shared" si="3"/>
        <v>1500 rs. Amazon Voucher</v>
      </c>
      <c r="O38" s="26" cm="1">
        <f t="array" ref="O38">_xlfn.IFS(I38="North",5000,I38="South",4000,I38="East",4200,I38="Mid West",3800)</f>
        <v>5000</v>
      </c>
    </row>
    <row r="39" spans="1:15">
      <c r="A39" s="22">
        <v>150940</v>
      </c>
      <c r="B39" s="23" t="s">
        <v>85</v>
      </c>
      <c r="C39" s="23" t="s">
        <v>86</v>
      </c>
      <c r="D39" s="24">
        <v>26906</v>
      </c>
      <c r="E39" s="22" t="s">
        <v>32</v>
      </c>
      <c r="F39" s="23" t="s">
        <v>38</v>
      </c>
      <c r="G39" s="23" t="s">
        <v>109</v>
      </c>
      <c r="H39" s="19">
        <v>87000</v>
      </c>
      <c r="I39" s="23" t="s">
        <v>186</v>
      </c>
      <c r="J39" s="26" t="str">
        <f t="shared" si="0"/>
        <v>Not Eligible</v>
      </c>
      <c r="K39" s="26">
        <f t="shared" si="1"/>
        <v>0</v>
      </c>
      <c r="L39" s="26" t="str">
        <f>IF(YEAR(D39)&lt;1980,"Retired","Not Retired")</f>
        <v>Retired</v>
      </c>
      <c r="M39" s="26">
        <f t="shared" si="2"/>
        <v>0</v>
      </c>
      <c r="N39" s="26" t="str">
        <f t="shared" si="3"/>
        <v>1500 rs. Amazon Voucher</v>
      </c>
      <c r="O39" s="26" cm="1">
        <f t="array" ref="O39">_xlfn.IFS(I39="North",5000,I39="South",4000,I39="East",4200,I39="Mid West",3800)</f>
        <v>4200</v>
      </c>
    </row>
    <row r="40" spans="1:15">
      <c r="A40" s="22">
        <v>150947</v>
      </c>
      <c r="B40" s="23" t="s">
        <v>87</v>
      </c>
      <c r="C40" s="23" t="s">
        <v>88</v>
      </c>
      <c r="D40" s="24">
        <v>33449</v>
      </c>
      <c r="E40" s="22" t="s">
        <v>62</v>
      </c>
      <c r="F40" s="23" t="s">
        <v>33</v>
      </c>
      <c r="G40" s="23" t="s">
        <v>110</v>
      </c>
      <c r="H40" s="19">
        <v>85000</v>
      </c>
      <c r="I40" s="23" t="s">
        <v>186</v>
      </c>
      <c r="J40" s="26" t="str">
        <f t="shared" si="0"/>
        <v>Not Eligible</v>
      </c>
      <c r="K40" s="26">
        <f t="shared" si="1"/>
        <v>0</v>
      </c>
      <c r="L40" s="26" t="str">
        <f>IF(YEAR(D40)&lt;1980,"Retired","Not Retired")</f>
        <v>Not Retired</v>
      </c>
      <c r="M40" s="26">
        <f t="shared" si="2"/>
        <v>0</v>
      </c>
      <c r="N40" s="26" t="str">
        <f t="shared" si="3"/>
        <v>1500 rs. Amazon Voucher</v>
      </c>
      <c r="O40" s="26" cm="1">
        <f t="array" ref="O40">_xlfn.IFS(I40="North",5000,I40="South",4000,I40="East",4200,I40="Mid West",3800)</f>
        <v>4200</v>
      </c>
    </row>
    <row r="41" spans="1:15">
      <c r="A41" s="22">
        <v>150954</v>
      </c>
      <c r="B41" s="23" t="s">
        <v>89</v>
      </c>
      <c r="C41" s="23" t="s">
        <v>42</v>
      </c>
      <c r="D41" s="24">
        <v>35495</v>
      </c>
      <c r="E41" s="22" t="s">
        <v>62</v>
      </c>
      <c r="F41" s="23" t="s">
        <v>33</v>
      </c>
      <c r="G41" s="23" t="s">
        <v>24</v>
      </c>
      <c r="H41" s="19">
        <v>57000</v>
      </c>
      <c r="I41" s="23" t="s">
        <v>184</v>
      </c>
      <c r="J41" s="26" t="str">
        <f t="shared" si="0"/>
        <v>Not Eligible</v>
      </c>
      <c r="K41" s="26">
        <f t="shared" si="1"/>
        <v>0</v>
      </c>
      <c r="L41" s="26" t="str">
        <f>IF(YEAR(D41)&lt;1980,"Retired","Not Retired")</f>
        <v>Not Retired</v>
      </c>
      <c r="M41" s="26">
        <f t="shared" si="2"/>
        <v>0</v>
      </c>
      <c r="N41" s="26" t="str">
        <f t="shared" si="3"/>
        <v>1500 rs. Amazon Voucher</v>
      </c>
      <c r="O41" s="26" cm="1">
        <f t="array" ref="O41">_xlfn.IFS(I41="North",5000,I41="South",4000,I41="East",4200,I41="Mid West",3800)</f>
        <v>4000</v>
      </c>
    </row>
    <row r="42" spans="1:15">
      <c r="A42" s="22">
        <v>150962</v>
      </c>
      <c r="B42" s="23" t="s">
        <v>90</v>
      </c>
      <c r="C42" s="23" t="s">
        <v>42</v>
      </c>
      <c r="D42" s="24">
        <v>37773</v>
      </c>
      <c r="E42" s="22" t="s">
        <v>62</v>
      </c>
      <c r="F42" s="23" t="s">
        <v>33</v>
      </c>
      <c r="G42" s="23" t="s">
        <v>116</v>
      </c>
      <c r="H42" s="19">
        <v>87000</v>
      </c>
      <c r="I42" s="23" t="s">
        <v>184</v>
      </c>
      <c r="J42" s="26" t="str">
        <f t="shared" si="0"/>
        <v>Not Eligible</v>
      </c>
      <c r="K42" s="26">
        <f t="shared" si="1"/>
        <v>0</v>
      </c>
      <c r="L42" s="26" t="str">
        <f>IF(YEAR(D42)&lt;1980,"Retired","Not Retired")</f>
        <v>Not Retired</v>
      </c>
      <c r="M42" s="26">
        <f t="shared" si="2"/>
        <v>0</v>
      </c>
      <c r="N42" s="26" t="str">
        <f t="shared" si="3"/>
        <v>No voucher</v>
      </c>
      <c r="O42" s="26" cm="1">
        <f t="array" ref="O42">_xlfn.IFS(I42="North",5000,I42="South",4000,I42="East",4200,I42="Mid West",3800)</f>
        <v>4000</v>
      </c>
    </row>
    <row r="43" spans="1:15">
      <c r="A43" s="22">
        <v>150968</v>
      </c>
      <c r="B43" s="23" t="s">
        <v>91</v>
      </c>
      <c r="C43" s="23" t="s">
        <v>92</v>
      </c>
      <c r="D43" s="24">
        <v>37208</v>
      </c>
      <c r="E43" s="22" t="s">
        <v>32</v>
      </c>
      <c r="F43" s="23" t="s">
        <v>33</v>
      </c>
      <c r="G43" s="23" t="s">
        <v>112</v>
      </c>
      <c r="H43" s="19">
        <v>65000</v>
      </c>
      <c r="I43" s="23" t="s">
        <v>186</v>
      </c>
      <c r="J43" s="26" t="str">
        <f t="shared" si="0"/>
        <v>Not Eligible</v>
      </c>
      <c r="K43" s="26">
        <f t="shared" si="1"/>
        <v>0</v>
      </c>
      <c r="L43" s="26" t="str">
        <f>IF(YEAR(D43)&lt;1980,"Retired","Not Retired")</f>
        <v>Not Retired</v>
      </c>
      <c r="M43" s="26">
        <f t="shared" si="2"/>
        <v>0</v>
      </c>
      <c r="N43" s="26" t="str">
        <f t="shared" si="3"/>
        <v>1500 rs. Amazon Voucher</v>
      </c>
      <c r="O43" s="26" cm="1">
        <f t="array" ref="O43">_xlfn.IFS(I43="North",5000,I43="South",4000,I43="East",4200,I43="Mid West",3800)</f>
        <v>4200</v>
      </c>
    </row>
    <row r="44" spans="1:15">
      <c r="A44" s="22">
        <v>150975</v>
      </c>
      <c r="B44" s="23" t="s">
        <v>93</v>
      </c>
      <c r="C44" s="23" t="s">
        <v>94</v>
      </c>
      <c r="D44" s="24">
        <v>31478</v>
      </c>
      <c r="E44" s="22" t="s">
        <v>32</v>
      </c>
      <c r="F44" s="23" t="s">
        <v>33</v>
      </c>
      <c r="G44" s="23" t="s">
        <v>105</v>
      </c>
      <c r="H44" s="19">
        <v>83000</v>
      </c>
      <c r="I44" s="23" t="s">
        <v>183</v>
      </c>
      <c r="J44" s="26" t="str">
        <f t="shared" si="0"/>
        <v>Not Eligible</v>
      </c>
      <c r="K44" s="26">
        <f t="shared" si="1"/>
        <v>0</v>
      </c>
      <c r="L44" s="26" t="str">
        <f>IF(YEAR(D44)&lt;1980,"Retired","Not Retired")</f>
        <v>Not Retired</v>
      </c>
      <c r="M44" s="26">
        <f t="shared" si="2"/>
        <v>0</v>
      </c>
      <c r="N44" s="26" t="str">
        <f t="shared" si="3"/>
        <v>1500 rs. Amazon Voucher</v>
      </c>
      <c r="O44" s="26" cm="1">
        <f t="array" ref="O44">_xlfn.IFS(I44="North",5000,I44="South",4000,I44="East",4200,I44="Mid West",3800)</f>
        <v>5000</v>
      </c>
    </row>
    <row r="45" spans="1:15">
      <c r="A45" s="22">
        <v>150982</v>
      </c>
      <c r="B45" s="23" t="s">
        <v>95</v>
      </c>
      <c r="C45" s="23" t="s">
        <v>96</v>
      </c>
      <c r="D45" s="24">
        <v>35574</v>
      </c>
      <c r="E45" s="22" t="s">
        <v>32</v>
      </c>
      <c r="F45" s="23" t="s">
        <v>33</v>
      </c>
      <c r="G45" s="23" t="s">
        <v>106</v>
      </c>
      <c r="H45" s="19">
        <v>47000</v>
      </c>
      <c r="I45" s="23" t="s">
        <v>183</v>
      </c>
      <c r="J45" s="26" t="str">
        <f t="shared" si="0"/>
        <v>Not Eligible</v>
      </c>
      <c r="K45" s="26">
        <f t="shared" si="1"/>
        <v>0</v>
      </c>
      <c r="L45" s="26" t="str">
        <f>IF(YEAR(D45)&lt;1980,"Retired","Not Retired")</f>
        <v>Not Retired</v>
      </c>
      <c r="M45" s="26">
        <f t="shared" si="2"/>
        <v>0</v>
      </c>
      <c r="N45" s="26" t="str">
        <f t="shared" si="3"/>
        <v>1500 rs. Amazon Voucher</v>
      </c>
      <c r="O45" s="26" cm="1">
        <f t="array" ref="O45">_xlfn.IFS(I45="North",5000,I45="South",4000,I45="East",4200,I45="Mid West",3800)</f>
        <v>5000</v>
      </c>
    </row>
    <row r="46" spans="1:15">
      <c r="A46" s="22">
        <v>150989</v>
      </c>
      <c r="B46" s="23" t="s">
        <v>97</v>
      </c>
      <c r="C46" s="23" t="s">
        <v>98</v>
      </c>
      <c r="D46" s="24">
        <v>33113</v>
      </c>
      <c r="E46" s="22" t="s">
        <v>32</v>
      </c>
      <c r="F46" s="23" t="s">
        <v>33</v>
      </c>
      <c r="G46" s="23" t="s">
        <v>107</v>
      </c>
      <c r="H46" s="19">
        <v>45000</v>
      </c>
      <c r="I46" s="23" t="s">
        <v>184</v>
      </c>
      <c r="J46" s="26" t="str">
        <f t="shared" si="0"/>
        <v>Not Eligible</v>
      </c>
      <c r="K46" s="26">
        <f t="shared" si="1"/>
        <v>0</v>
      </c>
      <c r="L46" s="26" t="str">
        <f>IF(YEAR(D46)&lt;1980,"Retired","Not Retired")</f>
        <v>Not Retired</v>
      </c>
      <c r="M46" s="26">
        <f t="shared" si="2"/>
        <v>0</v>
      </c>
      <c r="N46" s="26" t="str">
        <f t="shared" si="3"/>
        <v>1500 rs. Amazon Voucher</v>
      </c>
      <c r="O46" s="26" cm="1">
        <f t="array" ref="O46">_xlfn.IFS(I46="North",5000,I46="South",4000,I46="East",4200,I46="Mid West",3800)</f>
        <v>4000</v>
      </c>
    </row>
    <row r="47" spans="1:15">
      <c r="A47" s="22">
        <v>150990</v>
      </c>
      <c r="B47" s="23" t="s">
        <v>99</v>
      </c>
      <c r="C47" s="23" t="s">
        <v>98</v>
      </c>
      <c r="D47" s="24">
        <v>36400</v>
      </c>
      <c r="E47" s="22" t="s">
        <v>32</v>
      </c>
      <c r="F47" s="23" t="s">
        <v>33</v>
      </c>
      <c r="G47" s="23" t="s">
        <v>108</v>
      </c>
      <c r="H47" s="19">
        <v>77000</v>
      </c>
      <c r="I47" s="23" t="s">
        <v>185</v>
      </c>
      <c r="J47" s="26" t="str">
        <f t="shared" si="0"/>
        <v>Not Eligible</v>
      </c>
      <c r="K47" s="26">
        <f t="shared" si="1"/>
        <v>0</v>
      </c>
      <c r="L47" s="26" t="str">
        <f>IF(YEAR(D47)&lt;1980,"Retired","Not Retired")</f>
        <v>Not Retired</v>
      </c>
      <c r="M47" s="26">
        <f t="shared" si="2"/>
        <v>0</v>
      </c>
      <c r="N47" s="26" t="str">
        <f t="shared" si="3"/>
        <v>1500 rs. Amazon Voucher</v>
      </c>
      <c r="O47" s="26" cm="1">
        <f t="array" ref="O47">_xlfn.IFS(I47="North",5000,I47="South",4000,I47="East",4200,I47="Mid West",3800)</f>
        <v>3800</v>
      </c>
    </row>
    <row r="48" spans="1:15">
      <c r="A48" s="22">
        <v>150995</v>
      </c>
      <c r="B48" s="23" t="s">
        <v>100</v>
      </c>
      <c r="C48" s="23" t="s">
        <v>101</v>
      </c>
      <c r="D48" s="24">
        <v>35330</v>
      </c>
      <c r="E48" s="22" t="s">
        <v>32</v>
      </c>
      <c r="F48" s="23" t="s">
        <v>33</v>
      </c>
      <c r="G48" s="23" t="s">
        <v>109</v>
      </c>
      <c r="H48" s="19">
        <v>15000</v>
      </c>
      <c r="I48" s="23" t="s">
        <v>183</v>
      </c>
      <c r="J48" s="26" t="str">
        <f t="shared" si="0"/>
        <v>Not Eligible</v>
      </c>
      <c r="K48" s="26">
        <f t="shared" si="1"/>
        <v>0</v>
      </c>
      <c r="L48" s="26" t="str">
        <f>IF(YEAR(D48)&lt;1980,"Retired","Not Retired")</f>
        <v>Not Retired</v>
      </c>
      <c r="M48" s="26">
        <f t="shared" si="2"/>
        <v>0</v>
      </c>
      <c r="N48" s="26" t="str">
        <f t="shared" si="3"/>
        <v>1500 rs. Amazon Voucher</v>
      </c>
      <c r="O48" s="26" cm="1">
        <f t="array" ref="O48">_xlfn.IFS(I48="North",5000,I48="South",4000,I48="East",4200,I48="Mid West",3800)</f>
        <v>5000</v>
      </c>
    </row>
    <row r="49" spans="7:7">
      <c r="G49" s="20"/>
    </row>
  </sheetData>
  <autoFilter ref="A10:O48" xr:uid="{FA952DA9-2839-4549-8381-F4608ED4D90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DBFC-3CFF-4DD7-A1A2-6FF9256F5EB0}">
  <dimension ref="A1:H53"/>
  <sheetViews>
    <sheetView showGridLines="0" tabSelected="1" workbookViewId="0">
      <selection activeCell="C4" sqref="C4:C53"/>
    </sheetView>
  </sheetViews>
  <sheetFormatPr defaultColWidth="8.81640625" defaultRowHeight="14.5"/>
  <cols>
    <col min="1" max="1" width="20.26953125" style="19" customWidth="1"/>
    <col min="2" max="2" width="22.7265625" style="19" customWidth="1"/>
    <col min="3" max="3" width="20.26953125" style="19" customWidth="1"/>
    <col min="4" max="4" width="23.54296875" customWidth="1"/>
  </cols>
  <sheetData>
    <row r="1" spans="1:8">
      <c r="A1" s="28" t="s">
        <v>121</v>
      </c>
      <c r="B1" s="29"/>
      <c r="C1" s="30"/>
    </row>
    <row r="2" spans="1:8">
      <c r="A2" s="31"/>
      <c r="B2" s="32"/>
      <c r="C2" s="32"/>
    </row>
    <row r="3" spans="1:8">
      <c r="A3" s="33" t="s">
        <v>122</v>
      </c>
      <c r="B3" s="33" t="s">
        <v>123</v>
      </c>
      <c r="C3" s="33" t="s">
        <v>124</v>
      </c>
    </row>
    <row r="4" spans="1:8">
      <c r="A4" s="34" t="s">
        <v>125</v>
      </c>
      <c r="B4" s="34">
        <v>62</v>
      </c>
      <c r="C4" s="39" t="str" cm="1">
        <f t="array" ref="C4">_xlfn.IFS(AND(B4&lt;=100, B4&gt;=90),"A",AND(B4&lt;=89,B4&gt;=80),"B",AND(B4&lt;=79,B4&gt;=51),"C",AND(B4&lt;=50,B4&gt;=41),"D",AND(B4&lt;=40,B4&gt;=0),"F")</f>
        <v>C</v>
      </c>
      <c r="F4" s="33" t="s">
        <v>126</v>
      </c>
      <c r="G4" s="33" t="s">
        <v>127</v>
      </c>
      <c r="H4" s="33" t="s">
        <v>128</v>
      </c>
    </row>
    <row r="5" spans="1:8">
      <c r="A5" s="34" t="s">
        <v>129</v>
      </c>
      <c r="B5" s="34">
        <v>92</v>
      </c>
      <c r="C5" s="39" t="str" cm="1">
        <f t="array" ref="C5">_xlfn.IFS(AND(B5&lt;=100, B5&gt;=90),"A",AND(B5&lt;=89,B5&gt;=80),"B",AND(B5&lt;=79,B5&gt;=51),"C",AND(B5&lt;=50,B5&gt;=41),"D",AND(B5&lt;=40,B5&gt;=0),"F")</f>
        <v>A</v>
      </c>
      <c r="F5" s="35">
        <v>90</v>
      </c>
      <c r="G5" s="35">
        <v>100</v>
      </c>
      <c r="H5" s="36" t="s">
        <v>130</v>
      </c>
    </row>
    <row r="6" spans="1:8">
      <c r="A6" s="34" t="s">
        <v>131</v>
      </c>
      <c r="B6" s="34">
        <v>52</v>
      </c>
      <c r="C6" s="39" t="str" cm="1">
        <f t="array" ref="C6">_xlfn.IFS(AND(B6&lt;=100, B6&gt;=90),"A",AND(B6&lt;=89,B6&gt;=80),"B",AND(B6&lt;=79,B6&gt;=51),"C",AND(B6&lt;=50,B6&gt;=41),"D",AND(B6&lt;=40,B6&gt;=0),"F")</f>
        <v>C</v>
      </c>
      <c r="F6" s="37">
        <v>80</v>
      </c>
      <c r="G6" s="37">
        <v>89</v>
      </c>
      <c r="H6" s="38" t="s">
        <v>132</v>
      </c>
    </row>
    <row r="7" spans="1:8">
      <c r="A7" s="34" t="s">
        <v>133</v>
      </c>
      <c r="B7" s="34">
        <v>60</v>
      </c>
      <c r="C7" s="39" t="str" cm="1">
        <f t="array" ref="C7">_xlfn.IFS(AND(B7&lt;=100, B7&gt;=90),"A",AND(B7&lt;=89,B7&gt;=80),"B",AND(B7&lt;=79,B7&gt;=51),"C",AND(B7&lt;=50,B7&gt;=41),"D",AND(B7&lt;=40,B7&gt;=0),"F")</f>
        <v>C</v>
      </c>
      <c r="F7" s="37">
        <v>51</v>
      </c>
      <c r="G7" s="37">
        <v>79</v>
      </c>
      <c r="H7" s="38" t="s">
        <v>86</v>
      </c>
    </row>
    <row r="8" spans="1:8">
      <c r="A8" s="34" t="s">
        <v>134</v>
      </c>
      <c r="B8" s="34">
        <v>81</v>
      </c>
      <c r="C8" s="39" t="str" cm="1">
        <f t="array" ref="C8">_xlfn.IFS(AND(B8&lt;=100, B8&gt;=90),"A",AND(B8&lt;=89,B8&gt;=80),"B",AND(B8&lt;=79,B8&gt;=51),"C",AND(B8&lt;=50,B8&gt;=41),"D",AND(B8&lt;=40,B8&gt;=0),"F")</f>
        <v>B</v>
      </c>
      <c r="F8" s="37">
        <v>41</v>
      </c>
      <c r="G8" s="37">
        <v>50</v>
      </c>
      <c r="H8" s="38" t="s">
        <v>69</v>
      </c>
    </row>
    <row r="9" spans="1:8">
      <c r="A9" s="34" t="s">
        <v>135</v>
      </c>
      <c r="B9" s="34">
        <v>66</v>
      </c>
      <c r="C9" s="39" t="str" cm="1">
        <f t="array" ref="C9">_xlfn.IFS(AND(B9&lt;=100, B9&gt;=90),"A",AND(B9&lt;=89,B9&gt;=80),"B",AND(B9&lt;=79,B9&gt;=51),"C",AND(B9&lt;=50,B9&gt;=41),"D",AND(B9&lt;=40,B9&gt;=0),"F")</f>
        <v>C</v>
      </c>
      <c r="F9" s="37">
        <v>0</v>
      </c>
      <c r="G9" s="37">
        <v>40</v>
      </c>
      <c r="H9" s="38" t="s">
        <v>136</v>
      </c>
    </row>
    <row r="10" spans="1:8">
      <c r="A10" s="34" t="s">
        <v>137</v>
      </c>
      <c r="B10" s="34">
        <v>63</v>
      </c>
      <c r="C10" s="39" t="str" cm="1">
        <f t="array" ref="C10">_xlfn.IFS(AND(B10&lt;=100, B10&gt;=90),"A",AND(B10&lt;=89,B10&gt;=80),"B",AND(B10&lt;=79,B10&gt;=51),"C",AND(B10&lt;=50,B10&gt;=41),"D",AND(B10&lt;=40,B10&gt;=0),"F")</f>
        <v>C</v>
      </c>
    </row>
    <row r="11" spans="1:8">
      <c r="A11" s="34" t="s">
        <v>138</v>
      </c>
      <c r="B11" s="34">
        <v>100</v>
      </c>
      <c r="C11" s="39" t="str" cm="1">
        <f t="array" ref="C11">_xlfn.IFS(AND(B11&lt;=100, B11&gt;=90),"A",AND(B11&lt;=89,B11&gt;=80),"B",AND(B11&lt;=79,B11&gt;=51),"C",AND(B11&lt;=50,B11&gt;=41),"D",AND(B11&lt;=40,B11&gt;=0),"F")</f>
        <v>A</v>
      </c>
    </row>
    <row r="12" spans="1:8">
      <c r="A12" s="34" t="s">
        <v>139</v>
      </c>
      <c r="B12" s="34">
        <v>46</v>
      </c>
      <c r="C12" s="39" t="str" cm="1">
        <f t="array" ref="C12">_xlfn.IFS(AND(B12&lt;=100, B12&gt;=90),"A",AND(B12&lt;=89,B12&gt;=80),"B",AND(B12&lt;=79,B12&gt;=51),"C",AND(B12&lt;=50,B12&gt;=41),"D",AND(B12&lt;=40,B12&gt;=0),"F")</f>
        <v>D</v>
      </c>
    </row>
    <row r="13" spans="1:8">
      <c r="A13" s="34" t="s">
        <v>140</v>
      </c>
      <c r="B13" s="34">
        <v>87</v>
      </c>
      <c r="C13" s="39" t="str" cm="1">
        <f t="array" ref="C13">_xlfn.IFS(AND(B13&lt;=100, B13&gt;=90),"A",AND(B13&lt;=89,B13&gt;=80),"B",AND(B13&lt;=79,B13&gt;=51),"C",AND(B13&lt;=50,B13&gt;=41),"D",AND(B13&lt;=40,B13&gt;=0),"F")</f>
        <v>B</v>
      </c>
    </row>
    <row r="14" spans="1:8">
      <c r="A14" s="34" t="s">
        <v>141</v>
      </c>
      <c r="B14" s="34">
        <v>93</v>
      </c>
      <c r="C14" s="39" t="str" cm="1">
        <f t="array" ref="C14">_xlfn.IFS(AND(B14&lt;=100, B14&gt;=90),"A",AND(B14&lt;=89,B14&gt;=80),"B",AND(B14&lt;=79,B14&gt;=51),"C",AND(B14&lt;=50,B14&gt;=41),"D",AND(B14&lt;=40,B14&gt;=0),"F")</f>
        <v>A</v>
      </c>
    </row>
    <row r="15" spans="1:8">
      <c r="A15" s="34" t="s">
        <v>142</v>
      </c>
      <c r="B15" s="34">
        <v>84</v>
      </c>
      <c r="C15" s="39" t="str" cm="1">
        <f t="array" ref="C15">_xlfn.IFS(AND(B15&lt;=100, B15&gt;=90),"A",AND(B15&lt;=89,B15&gt;=80),"B",AND(B15&lt;=79,B15&gt;=51),"C",AND(B15&lt;=50,B15&gt;=41),"D",AND(B15&lt;=40,B15&gt;=0),"F")</f>
        <v>B</v>
      </c>
    </row>
    <row r="16" spans="1:8">
      <c r="A16" s="34" t="s">
        <v>143</v>
      </c>
      <c r="B16" s="34">
        <v>44</v>
      </c>
      <c r="C16" s="39" t="str" cm="1">
        <f t="array" ref="C16">_xlfn.IFS(AND(B16&lt;=100, B16&gt;=90),"A",AND(B16&lt;=89,B16&gt;=80),"B",AND(B16&lt;=79,B16&gt;=51),"C",AND(B16&lt;=50,B16&gt;=41),"D",AND(B16&lt;=40,B16&gt;=0),"F")</f>
        <v>D</v>
      </c>
    </row>
    <row r="17" spans="1:3">
      <c r="A17" s="34" t="s">
        <v>144</v>
      </c>
      <c r="B17" s="34">
        <v>71</v>
      </c>
      <c r="C17" s="39" t="str" cm="1">
        <f t="array" ref="C17">_xlfn.IFS(AND(B17&lt;=100, B17&gt;=90),"A",AND(B17&lt;=89,B17&gt;=80),"B",AND(B17&lt;=79,B17&gt;=51),"C",AND(B17&lt;=50,B17&gt;=41),"D",AND(B17&lt;=40,B17&gt;=0),"F")</f>
        <v>C</v>
      </c>
    </row>
    <row r="18" spans="1:3">
      <c r="A18" s="34" t="s">
        <v>145</v>
      </c>
      <c r="B18" s="34">
        <v>100</v>
      </c>
      <c r="C18" s="39" t="str" cm="1">
        <f t="array" ref="C18">_xlfn.IFS(AND(B18&lt;=100, B18&gt;=90),"A",AND(B18&lt;=89,B18&gt;=80),"B",AND(B18&lt;=79,B18&gt;=51),"C",AND(B18&lt;=50,B18&gt;=41),"D",AND(B18&lt;=40,B18&gt;=0),"F")</f>
        <v>A</v>
      </c>
    </row>
    <row r="19" spans="1:3">
      <c r="A19" s="34" t="s">
        <v>146</v>
      </c>
      <c r="B19" s="34">
        <v>40</v>
      </c>
      <c r="C19" s="39" t="str" cm="1">
        <f t="array" ref="C19">_xlfn.IFS(AND(B19&lt;=100, B19&gt;=90),"A",AND(B19&lt;=89,B19&gt;=80),"B",AND(B19&lt;=79,B19&gt;=51),"C",AND(B19&lt;=50,B19&gt;=41),"D",AND(B19&lt;=40,B19&gt;=0),"F")</f>
        <v>F</v>
      </c>
    </row>
    <row r="20" spans="1:3">
      <c r="A20" s="34" t="s">
        <v>147</v>
      </c>
      <c r="B20" s="34">
        <v>35</v>
      </c>
      <c r="C20" s="39" t="str" cm="1">
        <f t="array" ref="C20">_xlfn.IFS(AND(B20&lt;=100, B20&gt;=90),"A",AND(B20&lt;=89,B20&gt;=80),"B",AND(B20&lt;=79,B20&gt;=51),"C",AND(B20&lt;=50,B20&gt;=41),"D",AND(B20&lt;=40,B20&gt;=0),"F")</f>
        <v>F</v>
      </c>
    </row>
    <row r="21" spans="1:3">
      <c r="A21" s="34" t="s">
        <v>148</v>
      </c>
      <c r="B21" s="34">
        <v>73</v>
      </c>
      <c r="C21" s="39" t="str" cm="1">
        <f t="array" ref="C21">_xlfn.IFS(AND(B21&lt;=100, B21&gt;=90),"A",AND(B21&lt;=89,B21&gt;=80),"B",AND(B21&lt;=79,B21&gt;=51),"C",AND(B21&lt;=50,B21&gt;=41),"D",AND(B21&lt;=40,B21&gt;=0),"F")</f>
        <v>C</v>
      </c>
    </row>
    <row r="22" spans="1:3">
      <c r="A22" s="34" t="s">
        <v>149</v>
      </c>
      <c r="B22" s="34">
        <v>99</v>
      </c>
      <c r="C22" s="39" t="str" cm="1">
        <f t="array" ref="C22">_xlfn.IFS(AND(B22&lt;=100, B22&gt;=90),"A",AND(B22&lt;=89,B22&gt;=80),"B",AND(B22&lt;=79,B22&gt;=51),"C",AND(B22&lt;=50,B22&gt;=41),"D",AND(B22&lt;=40,B22&gt;=0),"F")</f>
        <v>A</v>
      </c>
    </row>
    <row r="23" spans="1:3">
      <c r="A23" s="34" t="s">
        <v>150</v>
      </c>
      <c r="B23" s="34">
        <v>88</v>
      </c>
      <c r="C23" s="39" t="str" cm="1">
        <f t="array" ref="C23">_xlfn.IFS(AND(B23&lt;=100, B23&gt;=90),"A",AND(B23&lt;=89,B23&gt;=80),"B",AND(B23&lt;=79,B23&gt;=51),"C",AND(B23&lt;=50,B23&gt;=41),"D",AND(B23&lt;=40,B23&gt;=0),"F")</f>
        <v>B</v>
      </c>
    </row>
    <row r="24" spans="1:3">
      <c r="A24" s="34" t="s">
        <v>151</v>
      </c>
      <c r="B24" s="34">
        <v>90</v>
      </c>
      <c r="C24" s="39" t="str" cm="1">
        <f t="array" ref="C24">_xlfn.IFS(AND(B24&lt;=100, B24&gt;=90),"A",AND(B24&lt;=89,B24&gt;=80),"B",AND(B24&lt;=79,B24&gt;=51),"C",AND(B24&lt;=50,B24&gt;=41),"D",AND(B24&lt;=40,B24&gt;=0),"F")</f>
        <v>A</v>
      </c>
    </row>
    <row r="25" spans="1:3">
      <c r="A25" s="34" t="s">
        <v>152</v>
      </c>
      <c r="B25" s="34">
        <v>90</v>
      </c>
      <c r="C25" s="39" t="str" cm="1">
        <f t="array" ref="C25">_xlfn.IFS(AND(B25&lt;=100, B25&gt;=90),"A",AND(B25&lt;=89,B25&gt;=80),"B",AND(B25&lt;=79,B25&gt;=51),"C",AND(B25&lt;=50,B25&gt;=41),"D",AND(B25&lt;=40,B25&gt;=0),"F")</f>
        <v>A</v>
      </c>
    </row>
    <row r="26" spans="1:3">
      <c r="A26" s="34" t="s">
        <v>153</v>
      </c>
      <c r="B26" s="34">
        <v>44</v>
      </c>
      <c r="C26" s="39" t="str" cm="1">
        <f t="array" ref="C26">_xlfn.IFS(AND(B26&lt;=100, B26&gt;=90),"A",AND(B26&lt;=89,B26&gt;=80),"B",AND(B26&lt;=79,B26&gt;=51),"C",AND(B26&lt;=50,B26&gt;=41),"D",AND(B26&lt;=40,B26&gt;=0),"F")</f>
        <v>D</v>
      </c>
    </row>
    <row r="27" spans="1:3">
      <c r="A27" s="34" t="s">
        <v>154</v>
      </c>
      <c r="B27" s="34">
        <v>74</v>
      </c>
      <c r="C27" s="39" t="str" cm="1">
        <f t="array" ref="C27">_xlfn.IFS(AND(B27&lt;=100, B27&gt;=90),"A",AND(B27&lt;=89,B27&gt;=80),"B",AND(B27&lt;=79,B27&gt;=51),"C",AND(B27&lt;=50,B27&gt;=41),"D",AND(B27&lt;=40,B27&gt;=0),"F")</f>
        <v>C</v>
      </c>
    </row>
    <row r="28" spans="1:3">
      <c r="A28" s="34" t="s">
        <v>155</v>
      </c>
      <c r="B28" s="34">
        <v>46</v>
      </c>
      <c r="C28" s="39" t="str" cm="1">
        <f t="array" ref="C28">_xlfn.IFS(AND(B28&lt;=100, B28&gt;=90),"A",AND(B28&lt;=89,B28&gt;=80),"B",AND(B28&lt;=79,B28&gt;=51),"C",AND(B28&lt;=50,B28&gt;=41),"D",AND(B28&lt;=40,B28&gt;=0),"F")</f>
        <v>D</v>
      </c>
    </row>
    <row r="29" spans="1:3">
      <c r="A29" s="34" t="s">
        <v>156</v>
      </c>
      <c r="B29" s="34">
        <v>74</v>
      </c>
      <c r="C29" s="39" t="str" cm="1">
        <f t="array" ref="C29">_xlfn.IFS(AND(B29&lt;=100, B29&gt;=90),"A",AND(B29&lt;=89,B29&gt;=80),"B",AND(B29&lt;=79,B29&gt;=51),"C",AND(B29&lt;=50,B29&gt;=41),"D",AND(B29&lt;=40,B29&gt;=0),"F")</f>
        <v>C</v>
      </c>
    </row>
    <row r="30" spans="1:3">
      <c r="A30" s="34" t="s">
        <v>157</v>
      </c>
      <c r="B30" s="34">
        <v>92</v>
      </c>
      <c r="C30" s="39" t="str" cm="1">
        <f t="array" ref="C30">_xlfn.IFS(AND(B30&lt;=100, B30&gt;=90),"A",AND(B30&lt;=89,B30&gt;=80),"B",AND(B30&lt;=79,B30&gt;=51),"C",AND(B30&lt;=50,B30&gt;=41),"D",AND(B30&lt;=40,B30&gt;=0),"F")</f>
        <v>A</v>
      </c>
    </row>
    <row r="31" spans="1:3">
      <c r="A31" s="34" t="s">
        <v>158</v>
      </c>
      <c r="B31" s="34">
        <v>31</v>
      </c>
      <c r="C31" s="39" t="str" cm="1">
        <f t="array" ref="C31">_xlfn.IFS(AND(B31&lt;=100, B31&gt;=90),"A",AND(B31&lt;=89,B31&gt;=80),"B",AND(B31&lt;=79,B31&gt;=51),"C",AND(B31&lt;=50,B31&gt;=41),"D",AND(B31&lt;=40,B31&gt;=0),"F")</f>
        <v>F</v>
      </c>
    </row>
    <row r="32" spans="1:3">
      <c r="A32" s="34" t="s">
        <v>159</v>
      </c>
      <c r="B32" s="34">
        <v>51</v>
      </c>
      <c r="C32" s="39" t="str" cm="1">
        <f t="array" ref="C32">_xlfn.IFS(AND(B32&lt;=100, B32&gt;=90),"A",AND(B32&lt;=89,B32&gt;=80),"B",AND(B32&lt;=79,B32&gt;=51),"C",AND(B32&lt;=50,B32&gt;=41),"D",AND(B32&lt;=40,B32&gt;=0),"F")</f>
        <v>C</v>
      </c>
    </row>
    <row r="33" spans="1:3">
      <c r="A33" s="34" t="s">
        <v>160</v>
      </c>
      <c r="B33" s="34">
        <v>59</v>
      </c>
      <c r="C33" s="39" t="str" cm="1">
        <f t="array" ref="C33">_xlfn.IFS(AND(B33&lt;=100, B33&gt;=90),"A",AND(B33&lt;=89,B33&gt;=80),"B",AND(B33&lt;=79,B33&gt;=51),"C",AND(B33&lt;=50,B33&gt;=41),"D",AND(B33&lt;=40,B33&gt;=0),"F")</f>
        <v>C</v>
      </c>
    </row>
    <row r="34" spans="1:3">
      <c r="A34" s="34" t="s">
        <v>161</v>
      </c>
      <c r="B34" s="34">
        <v>85</v>
      </c>
      <c r="C34" s="39" t="str" cm="1">
        <f t="array" ref="C34">_xlfn.IFS(AND(B34&lt;=100, B34&gt;=90),"A",AND(B34&lt;=89,B34&gt;=80),"B",AND(B34&lt;=79,B34&gt;=51),"C",AND(B34&lt;=50,B34&gt;=41),"D",AND(B34&lt;=40,B34&gt;=0),"F")</f>
        <v>B</v>
      </c>
    </row>
    <row r="35" spans="1:3">
      <c r="A35" s="34" t="s">
        <v>162</v>
      </c>
      <c r="B35" s="34">
        <v>63</v>
      </c>
      <c r="C35" s="39" t="str" cm="1">
        <f t="array" ref="C35">_xlfn.IFS(AND(B35&lt;=100, B35&gt;=90),"A",AND(B35&lt;=89,B35&gt;=80),"B",AND(B35&lt;=79,B35&gt;=51),"C",AND(B35&lt;=50,B35&gt;=41),"D",AND(B35&lt;=40,B35&gt;=0),"F")</f>
        <v>C</v>
      </c>
    </row>
    <row r="36" spans="1:3">
      <c r="A36" s="34" t="s">
        <v>163</v>
      </c>
      <c r="B36" s="34">
        <v>60</v>
      </c>
      <c r="C36" s="39" t="str" cm="1">
        <f t="array" ref="C36">_xlfn.IFS(AND(B36&lt;=100, B36&gt;=90),"A",AND(B36&lt;=89,B36&gt;=80),"B",AND(B36&lt;=79,B36&gt;=51),"C",AND(B36&lt;=50,B36&gt;=41),"D",AND(B36&lt;=40,B36&gt;=0),"F")</f>
        <v>C</v>
      </c>
    </row>
    <row r="37" spans="1:3">
      <c r="A37" s="34" t="s">
        <v>164</v>
      </c>
      <c r="B37" s="34">
        <v>83</v>
      </c>
      <c r="C37" s="39" t="str" cm="1">
        <f t="array" ref="C37">_xlfn.IFS(AND(B37&lt;=100, B37&gt;=90),"A",AND(B37&lt;=89,B37&gt;=80),"B",AND(B37&lt;=79,B37&gt;=51),"C",AND(B37&lt;=50,B37&gt;=41),"D",AND(B37&lt;=40,B37&gt;=0),"F")</f>
        <v>B</v>
      </c>
    </row>
    <row r="38" spans="1:3">
      <c r="A38" s="34" t="s">
        <v>165</v>
      </c>
      <c r="B38" s="34">
        <v>72</v>
      </c>
      <c r="C38" s="39" t="str" cm="1">
        <f t="array" ref="C38">_xlfn.IFS(AND(B38&lt;=100, B38&gt;=90),"A",AND(B38&lt;=89,B38&gt;=80),"B",AND(B38&lt;=79,B38&gt;=51),"C",AND(B38&lt;=50,B38&gt;=41),"D",AND(B38&lt;=40,B38&gt;=0),"F")</f>
        <v>C</v>
      </c>
    </row>
    <row r="39" spans="1:3">
      <c r="A39" s="34" t="s">
        <v>166</v>
      </c>
      <c r="B39" s="34">
        <v>94</v>
      </c>
      <c r="C39" s="39" t="str" cm="1">
        <f t="array" ref="C39">_xlfn.IFS(AND(B39&lt;=100, B39&gt;=90),"A",AND(B39&lt;=89,B39&gt;=80),"B",AND(B39&lt;=79,B39&gt;=51),"C",AND(B39&lt;=50,B39&gt;=41),"D",AND(B39&lt;=40,B39&gt;=0),"F")</f>
        <v>A</v>
      </c>
    </row>
    <row r="40" spans="1:3">
      <c r="A40" s="34" t="s">
        <v>167</v>
      </c>
      <c r="B40" s="34">
        <v>92</v>
      </c>
      <c r="C40" s="39" t="str" cm="1">
        <f t="array" ref="C40">_xlfn.IFS(AND(B40&lt;=100, B40&gt;=90),"A",AND(B40&lt;=89,B40&gt;=80),"B",AND(B40&lt;=79,B40&gt;=51),"C",AND(B40&lt;=50,B40&gt;=41),"D",AND(B40&lt;=40,B40&gt;=0),"F")</f>
        <v>A</v>
      </c>
    </row>
    <row r="41" spans="1:3">
      <c r="A41" s="34" t="s">
        <v>168</v>
      </c>
      <c r="B41" s="34">
        <v>92</v>
      </c>
      <c r="C41" s="39" t="str" cm="1">
        <f t="array" ref="C41">_xlfn.IFS(AND(B41&lt;=100, B41&gt;=90),"A",AND(B41&lt;=89,B41&gt;=80),"B",AND(B41&lt;=79,B41&gt;=51),"C",AND(B41&lt;=50,B41&gt;=41),"D",AND(B41&lt;=40,B41&gt;=0),"F")</f>
        <v>A</v>
      </c>
    </row>
    <row r="42" spans="1:3">
      <c r="A42" s="34" t="s">
        <v>169</v>
      </c>
      <c r="B42" s="34">
        <v>59</v>
      </c>
      <c r="C42" s="39" t="str" cm="1">
        <f t="array" ref="C42">_xlfn.IFS(AND(B42&lt;=100, B42&gt;=90),"A",AND(B42&lt;=89,B42&gt;=80),"B",AND(B42&lt;=79,B42&gt;=51),"C",AND(B42&lt;=50,B42&gt;=41),"D",AND(B42&lt;=40,B42&gt;=0),"F")</f>
        <v>C</v>
      </c>
    </row>
    <row r="43" spans="1:3">
      <c r="A43" s="34" t="s">
        <v>170</v>
      </c>
      <c r="B43" s="34">
        <v>51</v>
      </c>
      <c r="C43" s="39" t="str" cm="1">
        <f t="array" ref="C43">_xlfn.IFS(AND(B43&lt;=100, B43&gt;=90),"A",AND(B43&lt;=89,B43&gt;=80),"B",AND(B43&lt;=79,B43&gt;=51),"C",AND(B43&lt;=50,B43&gt;=41),"D",AND(B43&lt;=40,B43&gt;=0),"F")</f>
        <v>C</v>
      </c>
    </row>
    <row r="44" spans="1:3">
      <c r="A44" s="34" t="s">
        <v>171</v>
      </c>
      <c r="B44" s="34">
        <v>45</v>
      </c>
      <c r="C44" s="39" t="str" cm="1">
        <f t="array" ref="C44">_xlfn.IFS(AND(B44&lt;=100, B44&gt;=90),"A",AND(B44&lt;=89,B44&gt;=80),"B",AND(B44&lt;=79,B44&gt;=51),"C",AND(B44&lt;=50,B44&gt;=41),"D",AND(B44&lt;=40,B44&gt;=0),"F")</f>
        <v>D</v>
      </c>
    </row>
    <row r="45" spans="1:3">
      <c r="A45" s="34" t="s">
        <v>172</v>
      </c>
      <c r="B45" s="34">
        <v>89</v>
      </c>
      <c r="C45" s="39" t="str" cm="1">
        <f t="array" ref="C45">_xlfn.IFS(AND(B45&lt;=100, B45&gt;=90),"A",AND(B45&lt;=89,B45&gt;=80),"B",AND(B45&lt;=79,B45&gt;=51),"C",AND(B45&lt;=50,B45&gt;=41),"D",AND(B45&lt;=40,B45&gt;=0),"F")</f>
        <v>B</v>
      </c>
    </row>
    <row r="46" spans="1:3">
      <c r="A46" s="34" t="s">
        <v>173</v>
      </c>
      <c r="B46" s="34">
        <v>51</v>
      </c>
      <c r="C46" s="39" t="str" cm="1">
        <f t="array" ref="C46">_xlfn.IFS(AND(B46&lt;=100, B46&gt;=90),"A",AND(B46&lt;=89,B46&gt;=80),"B",AND(B46&lt;=79,B46&gt;=51),"C",AND(B46&lt;=50,B46&gt;=41),"D",AND(B46&lt;=40,B46&gt;=0),"F")</f>
        <v>C</v>
      </c>
    </row>
    <row r="47" spans="1:3">
      <c r="A47" s="34" t="s">
        <v>174</v>
      </c>
      <c r="B47" s="34">
        <v>84</v>
      </c>
      <c r="C47" s="39" t="str" cm="1">
        <f t="array" ref="C47">_xlfn.IFS(AND(B47&lt;=100, B47&gt;=90),"A",AND(B47&lt;=89,B47&gt;=80),"B",AND(B47&lt;=79,B47&gt;=51),"C",AND(B47&lt;=50,B47&gt;=41),"D",AND(B47&lt;=40,B47&gt;=0),"F")</f>
        <v>B</v>
      </c>
    </row>
    <row r="48" spans="1:3">
      <c r="A48" s="34" t="s">
        <v>175</v>
      </c>
      <c r="B48" s="34">
        <v>32</v>
      </c>
      <c r="C48" s="39" t="str" cm="1">
        <f t="array" ref="C48">_xlfn.IFS(AND(B48&lt;=100, B48&gt;=90),"A",AND(B48&lt;=89,B48&gt;=80),"B",AND(B48&lt;=79,B48&gt;=51),"C",AND(B48&lt;=50,B48&gt;=41),"D",AND(B48&lt;=40,B48&gt;=0),"F")</f>
        <v>F</v>
      </c>
    </row>
    <row r="49" spans="1:3">
      <c r="A49" s="34" t="s">
        <v>176</v>
      </c>
      <c r="B49" s="34">
        <v>73</v>
      </c>
      <c r="C49" s="39" t="str" cm="1">
        <f t="array" ref="C49">_xlfn.IFS(AND(B49&lt;=100, B49&gt;=90),"A",AND(B49&lt;=89,B49&gt;=80),"B",AND(B49&lt;=79,B49&gt;=51),"C",AND(B49&lt;=50,B49&gt;=41),"D",AND(B49&lt;=40,B49&gt;=0),"F")</f>
        <v>C</v>
      </c>
    </row>
    <row r="50" spans="1:3">
      <c r="A50" s="34" t="s">
        <v>177</v>
      </c>
      <c r="B50" s="34">
        <v>44</v>
      </c>
      <c r="C50" s="39" t="str" cm="1">
        <f t="array" ref="C50">_xlfn.IFS(AND(B50&lt;=100, B50&gt;=90),"A",AND(B50&lt;=89,B50&gt;=80),"B",AND(B50&lt;=79,B50&gt;=51),"C",AND(B50&lt;=50,B50&gt;=41),"D",AND(B50&lt;=40,B50&gt;=0),"F")</f>
        <v>D</v>
      </c>
    </row>
    <row r="51" spans="1:3">
      <c r="A51" s="34" t="s">
        <v>178</v>
      </c>
      <c r="B51" s="34">
        <v>81</v>
      </c>
      <c r="C51" s="39" t="str" cm="1">
        <f t="array" ref="C51">_xlfn.IFS(AND(B51&lt;=100, B51&gt;=90),"A",AND(B51&lt;=89,B51&gt;=80),"B",AND(B51&lt;=79,B51&gt;=51),"C",AND(B51&lt;=50,B51&gt;=41),"D",AND(B51&lt;=40,B51&gt;=0),"F")</f>
        <v>B</v>
      </c>
    </row>
    <row r="52" spans="1:3">
      <c r="A52" s="34" t="s">
        <v>179</v>
      </c>
      <c r="B52" s="34">
        <v>76</v>
      </c>
      <c r="C52" s="39" t="str" cm="1">
        <f t="array" ref="C52">_xlfn.IFS(AND(B52&lt;=100, B52&gt;=90),"A",AND(B52&lt;=89,B52&gt;=80),"B",AND(B52&lt;=79,B52&gt;=51),"C",AND(B52&lt;=50,B52&gt;=41),"D",AND(B52&lt;=40,B52&gt;=0),"F")</f>
        <v>C</v>
      </c>
    </row>
    <row r="53" spans="1:3">
      <c r="A53" s="34" t="s">
        <v>180</v>
      </c>
      <c r="B53" s="34">
        <v>89</v>
      </c>
      <c r="C53" s="39" t="str" cm="1">
        <f t="array" ref="C53">_xlfn.IFS(AND(B53&lt;=100, B53&gt;=90),"A",AND(B53&lt;=89,B53&gt;=80),"B",AND(B53&lt;=79,B53&gt;=51),"C",AND(B53&lt;=50,B53&gt;=41),"D",AND(B53&lt;=40,B53&gt;=0),"F")</f>
        <v>B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IF</vt:lpstr>
      <vt:lpstr>IF AND OR nested</vt:lpstr>
      <vt:lpstr>NestedIF</vt:lpstr>
    </vt:vector>
  </TitlesOfParts>
  <Company>Alliance Data Card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Manav Dhabuwala</cp:lastModifiedBy>
  <dcterms:created xsi:type="dcterms:W3CDTF">2020-05-11T11:02:27Z</dcterms:created>
  <dcterms:modified xsi:type="dcterms:W3CDTF">2025-09-22T08:50:31Z</dcterms:modified>
</cp:coreProperties>
</file>